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X:\Empresa\Proyecto_Restaurante\Toma De Requerimientos\Plantillas\"/>
    </mc:Choice>
  </mc:AlternateContent>
  <xr:revisionPtr revIDLastSave="0" documentId="13_ncr:1_{EF9E9885-04C4-4E1C-99A3-D9A8D4D2B922}" xr6:coauthVersionLast="47" xr6:coauthVersionMax="47" xr10:uidLastSave="{00000000-0000-0000-0000-000000000000}"/>
  <bookViews>
    <workbookView xWindow="23880" yWindow="-120" windowWidth="20640" windowHeight="11040" tabRatio="761" firstSheet="3" activeTab="8" xr2:uid="{00000000-000D-0000-FFFF-FFFF00000000}"/>
  </bookViews>
  <sheets>
    <sheet name="PORTADA" sheetId="1" r:id="rId1"/>
    <sheet name="RF → CU" sheetId="2" r:id="rId2"/>
    <sheet name="RF → RNF" sheetId="3" r:id="rId3"/>
    <sheet name="RF → CP" sheetId="4" r:id="rId4"/>
    <sheet name="MATRIZ COMPLETA" sheetId="5" r:id="rId5"/>
    <sheet name="RESUMEN ESTADO" sheetId="6" r:id="rId6"/>
    <sheet name="RF → BPMN" sheetId="7" r:id="rId7"/>
    <sheet name="CATÁLOGO RNF" sheetId="8" r:id="rId8"/>
    <sheet name="MÓDULOS" sheetId="9" r:id="rId9"/>
    <sheet name="PENDIENTES RUP"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4" i="6" l="1"/>
  <c r="C33" i="6"/>
  <c r="C32" i="6"/>
  <c r="C31" i="6"/>
  <c r="C30" i="6"/>
  <c r="C29" i="6"/>
  <c r="C28" i="6"/>
  <c r="C27" i="6"/>
  <c r="F21" i="6"/>
  <c r="E21" i="6"/>
  <c r="D21" i="6"/>
  <c r="C21" i="6"/>
  <c r="G21" i="6" s="1"/>
  <c r="F20" i="6"/>
  <c r="E20" i="6"/>
  <c r="D20" i="6"/>
  <c r="C20" i="6"/>
  <c r="G20" i="6" s="1"/>
  <c r="F19" i="6"/>
  <c r="E19" i="6"/>
  <c r="D19" i="6"/>
  <c r="C19" i="6"/>
  <c r="G19" i="6" s="1"/>
  <c r="F18" i="6"/>
  <c r="E18" i="6"/>
  <c r="D18" i="6"/>
  <c r="C18" i="6"/>
  <c r="G18" i="6" s="1"/>
  <c r="F17" i="6"/>
  <c r="E17" i="6"/>
  <c r="D17" i="6"/>
  <c r="C17" i="6"/>
  <c r="G17" i="6" s="1"/>
  <c r="F16" i="6"/>
  <c r="E16" i="6"/>
  <c r="D16" i="6"/>
  <c r="C16" i="6"/>
  <c r="G16" i="6" s="1"/>
  <c r="F15" i="6"/>
  <c r="E15" i="6"/>
  <c r="D15" i="6"/>
  <c r="C15" i="6"/>
  <c r="G15" i="6" s="1"/>
  <c r="F14" i="6"/>
  <c r="E14" i="6"/>
  <c r="D14" i="6"/>
  <c r="C14" i="6"/>
  <c r="G14" i="6" s="1"/>
  <c r="F13" i="6"/>
  <c r="E13" i="6"/>
  <c r="D13" i="6"/>
  <c r="G13" i="6" s="1"/>
  <c r="C13" i="6"/>
  <c r="G12" i="6"/>
  <c r="F12" i="6"/>
  <c r="E12" i="6"/>
  <c r="D12" i="6"/>
  <c r="C12" i="6"/>
  <c r="F11" i="6"/>
  <c r="E11" i="6"/>
  <c r="D11" i="6"/>
  <c r="G11" i="6" s="1"/>
  <c r="C11" i="6"/>
  <c r="F10" i="6"/>
  <c r="E10" i="6"/>
  <c r="G10" i="6" s="1"/>
  <c r="D10" i="6"/>
  <c r="C10" i="6"/>
  <c r="F9" i="6"/>
  <c r="E9" i="6"/>
  <c r="D9" i="6"/>
  <c r="C9" i="6"/>
  <c r="G9" i="6" s="1"/>
  <c r="F8" i="6"/>
  <c r="E8" i="6"/>
  <c r="D8" i="6"/>
  <c r="C8" i="6"/>
  <c r="G8" i="6" s="1"/>
  <c r="F7" i="6"/>
  <c r="E7" i="6"/>
  <c r="D7" i="6"/>
  <c r="C7" i="6"/>
  <c r="G7" i="6" s="1"/>
  <c r="F6" i="6"/>
  <c r="E6" i="6"/>
  <c r="D6" i="6"/>
  <c r="C6" i="6"/>
  <c r="G6" i="6" s="1"/>
  <c r="F5" i="6"/>
  <c r="F22" i="6" s="1"/>
  <c r="E5" i="6"/>
  <c r="E22" i="6" s="1"/>
  <c r="D5" i="6"/>
  <c r="D22" i="6" s="1"/>
  <c r="C5" i="6"/>
  <c r="C22" i="6" s="1"/>
  <c r="G22" i="6" s="1"/>
  <c r="G5" i="6" l="1"/>
  <c r="C35" i="6" s="1"/>
</calcChain>
</file>

<file path=xl/sharedStrings.xml><?xml version="1.0" encoding="utf-8"?>
<sst xmlns="http://schemas.openxmlformats.org/spreadsheetml/2006/main" count="15043" uniqueCount="2319">
  <si>
    <t>MATRIZ DE TRAZABILIDAD RUP
SISTEMA INTEGRAL DE GESTIÓN PARA RESTAURANTE</t>
  </si>
  <si>
    <t>Proceso Unificado Rational (RUP) · SRS v2.0 · CU v2.0 · BPMN v2.0 · UML v2.0</t>
  </si>
  <si>
    <t>Nombre del Proyecto</t>
  </si>
  <si>
    <t>Sistema Integral de Gestión para Restaurante</t>
  </si>
  <si>
    <t>Código del Proyecto</t>
  </si>
  <si>
    <t>PROY-REST-001</t>
  </si>
  <si>
    <t>Empresa / Cliente</t>
  </si>
  <si>
    <t>Restaurante [Nombre del Restaurante] — Guatemala</t>
  </si>
  <si>
    <t>Versión del Documento</t>
  </si>
  <si>
    <t>2.0</t>
  </si>
  <si>
    <t>Elaborado por</t>
  </si>
  <si>
    <t>Equipo de Proyecto / Análisis</t>
  </si>
  <si>
    <t>Revisado por</t>
  </si>
  <si>
    <t>[Completar]</t>
  </si>
  <si>
    <t>Fecha de Elaboración</t>
  </si>
  <si>
    <t>16/08/2026</t>
  </si>
  <si>
    <t>Estado</t>
  </si>
  <si>
    <t>Documento de trazabilidad actualizado — pendiente de validación de stakeholders</t>
  </si>
  <si>
    <t>LEYENDA DE ESTADOS</t>
  </si>
  <si>
    <t>✅ Documentado / Trazado</t>
  </si>
  <si>
    <t>El artefacto o vínculo existe y está documentado en la versión 2.0.</t>
  </si>
  <si>
    <t>🧪 Planificado</t>
  </si>
  <si>
    <t>Caso de prueba identificado, todavía no ejecutado.</t>
  </si>
  <si>
    <t>⚠ Validar brecha v2.0</t>
  </si>
  <si>
    <t>Requerimiento complementario agregado por análisis técnico y sujeto a aprobación.</t>
  </si>
  <si>
    <t>⏳ Pendiente</t>
  </si>
  <si>
    <t>Implementación, validación o artefacto todavía pendiente.</t>
  </si>
  <si>
    <t>🔄 En Progreso</t>
  </si>
  <si>
    <t>Actividad actualmente en desarrollo o validación.</t>
  </si>
  <si>
    <t>✅ Verificado</t>
  </si>
  <si>
    <t>Implementado y validado satisfactoriamente.</t>
  </si>
  <si>
    <t>CONTENIDO DEL ARCHIVO</t>
  </si>
  <si>
    <t>RF → CU</t>
  </si>
  <si>
    <t>Trazabilidad completa de los 131 RF con sus 131 Casos de Uso.</t>
  </si>
  <si>
    <t>RF → RNF</t>
  </si>
  <si>
    <t>Mapeo de RF a los 22 RNF aplicables (783 vínculos documentales).</t>
  </si>
  <si>
    <t>RF → CP</t>
  </si>
  <si>
    <t>131 Casos de Prueba base planificados, uno por RF, con precondición y resultado esperado.</t>
  </si>
  <si>
    <t>RF → BPMN</t>
  </si>
  <si>
    <t>Trazabilidad de cada RF/CU con el proceso BPMN del módulo correspondiente.</t>
  </si>
  <si>
    <t>MATRIZ COMPLETA</t>
  </si>
  <si>
    <t>Vista consolidada RF ↔ CU ↔ RNF ↔ CP, prioridad y estado documental.</t>
  </si>
  <si>
    <t>RESUMEN ESTADO</t>
  </si>
  <si>
    <t>Dashboard de cobertura, distribución por módulo y KPIs del proyecto.</t>
  </si>
  <si>
    <t>CATÁLOGO RNF</t>
  </si>
  <si>
    <t>Catálogo completo de 22 RNF, categoría ISO/IEC 25010 y prioridad propuesta.</t>
  </si>
  <si>
    <t>MÓDULOS</t>
  </si>
  <si>
    <t>Catálogo de 17 módulos con conteo RF base / complementarios v2.0.</t>
  </si>
  <si>
    <t>PENDIENTES RUP</t>
  </si>
  <si>
    <t>Riesgos, decisiones abiertas y artefactos pendientes/actualizados.</t>
  </si>
  <si>
    <t>NOTAS DE USO</t>
  </si>
  <si>
    <t>1. La matriz refleja cobertura documental y trazabilidad; no debe interpretarse como evidencia de que el software ya fue implementado.</t>
  </si>
  <si>
    <t>2. Los 30 RF identificados como “brecha v2.0” requieren validación formal de stakeholders antes de fijar línea base.</t>
  </si>
  <si>
    <t>3. Los 131 CP son casos base planificados. Deben desglosarse en escenarios positivos, negativos, límites, integración, seguridad y rendimiento durante QA.</t>
  </si>
  <si>
    <t>4. La prioridad de los RNF es una propuesta de planificación técnica y debe confirmarse con negocio, arquitectura y QA.</t>
  </si>
  <si>
    <t>TRAZABILIDAD — REQUERIMIENTOS FUNCIONALES ↔ CASOS DE USO</t>
  </si>
  <si>
    <t>Sistema Integral de Gestión para Restaurante · 131 RF ↔ 131 CU · Versión 2.0</t>
  </si>
  <si>
    <t>ID Requerimiento Funcional</t>
  </si>
  <si>
    <t>Nombre del RF</t>
  </si>
  <si>
    <t>Módulo / Subsistema</t>
  </si>
  <si>
    <t>ID Caso de Uso</t>
  </si>
  <si>
    <t>Nombre del Caso de Uso</t>
  </si>
  <si>
    <t>Actor Principal</t>
  </si>
  <si>
    <t>Prioridad RF</t>
  </si>
  <si>
    <t>Estado Trazabilidad</t>
  </si>
  <si>
    <t>Observaciones</t>
  </si>
  <si>
    <t>RF-AUTH-001-BASICO</t>
  </si>
  <si>
    <t>Inicio de sesión con usuario y contraseña</t>
  </si>
  <si>
    <t>Autenticación y Control de Acceso</t>
  </si>
  <si>
    <t>CU-AUTH-001-BASICO</t>
  </si>
  <si>
    <t>Todos los roles del sistema</t>
  </si>
  <si>
    <t>Alta</t>
  </si>
  <si>
    <t>✅ Trazado</t>
  </si>
  <si>
    <t>Base original (v1.0 normalizada) · Estado SRS: Por desarrollar · Dependencias: RF-AUTH-009</t>
  </si>
  <si>
    <t>RF-AUTH-002-BASICO</t>
  </si>
  <si>
    <t>Recuperación de contraseña vía correo</t>
  </si>
  <si>
    <t>CU-AUTH-002-BASICO</t>
  </si>
  <si>
    <t>Todos los roles</t>
  </si>
  <si>
    <t>Media</t>
  </si>
  <si>
    <t>Base original (v1.0 normalizada) · Estado SRS: Por desarrollar · Dependencias: RF-AUTH-001-BASICO</t>
  </si>
  <si>
    <t>RF-AUTH-003-PREMIUM</t>
  </si>
  <si>
    <t>Autenticación de dos factores (2FA)</t>
  </si>
  <si>
    <t>CU-AUTH-003-PREMIUM</t>
  </si>
  <si>
    <t>Administrador</t>
  </si>
  <si>
    <t>RF-AUTH-004-PREMIUM</t>
  </si>
  <si>
    <t>Códigos de respaldo de un solo uso</t>
  </si>
  <si>
    <t>CU-AUTH-004-PREMIUM</t>
  </si>
  <si>
    <t>Base original (v1.0 normalizada) · Estado SRS: Por desarrollar · Dependencias: RF-AUTH-003-PREMIUM</t>
  </si>
  <si>
    <t>RF-AUTH-005-PREMIUM</t>
  </si>
  <si>
    <t>Bitácora de auditoría de inicios de sesión</t>
  </si>
  <si>
    <t>CU-AUTH-005-PREMIUM</t>
  </si>
  <si>
    <t>RF-AUTH-006-GOLD</t>
  </si>
  <si>
    <t>Autenticación biométrica (WebAuthn/FIDO2)</t>
  </si>
  <si>
    <t>CU-AUTH-006-GOLD</t>
  </si>
  <si>
    <t>Baja</t>
  </si>
  <si>
    <t>RF-AUTH-007-GOLD</t>
  </si>
  <si>
    <t>Soporte de llave de seguridad física (Hardware Key)</t>
  </si>
  <si>
    <t>CU-AUTH-007-GOLD</t>
  </si>
  <si>
    <t>RF-AUTH-008-GOLD</t>
  </si>
  <si>
    <t>Gestión de dispositivos confiables</t>
  </si>
  <si>
    <t>CU-AUTH-008-GOLD</t>
  </si>
  <si>
    <t>RF-AUTH-009</t>
  </si>
  <si>
    <t>Expiración de sesión por inactividad</t>
  </si>
  <si>
    <t>CU-AUTH-009</t>
  </si>
  <si>
    <t>Base original (v1.0 normalizada) · Estado SRS: Por desarrollar</t>
  </si>
  <si>
    <t>RF-REG-001-BASICO</t>
  </si>
  <si>
    <t>Registro de datos personales del empleado</t>
  </si>
  <si>
    <t>Registro y Gestión de Personal</t>
  </si>
  <si>
    <t>CU-REG-001-BASICO</t>
  </si>
  <si>
    <t>RF-REG-002-BASICO</t>
  </si>
  <si>
    <t>Control de acceso administrativo único</t>
  </si>
  <si>
    <t>CU-REG-002-BASICO</t>
  </si>
  <si>
    <t>RF-REG-003-PREMIUM</t>
  </si>
  <si>
    <t>Gestión documental de empleados</t>
  </si>
  <si>
    <t>CU-REG-003-PREMIUM</t>
  </si>
  <si>
    <t>Base original (v1.0 normalizada) · Estado SRS: Por desarrollar · Dependencias: RF-REG-001-BASICO</t>
  </si>
  <si>
    <t>RF-REG-004-PREMIUM</t>
  </si>
  <si>
    <t>Registro de capacitaciones</t>
  </si>
  <si>
    <t>CU-REG-004-PREMIUM</t>
  </si>
  <si>
    <t>RF-REG-005-PREMIUM</t>
  </si>
  <si>
    <t>Integración con reloj biométrico de asistencia</t>
  </si>
  <si>
    <t>CU-REG-005-PREMIUM</t>
  </si>
  <si>
    <t>RRHH</t>
  </si>
  <si>
    <t>Base original (v1.0 normalizada) · Estado SRS: Por desarrollar · Dependencias: RF-RRHH-003</t>
  </si>
  <si>
    <t>RF-MESA-001</t>
  </si>
  <si>
    <t>Mapa visual interactivo del salón</t>
  </si>
  <si>
    <t>Gestión de Mesas y Salón</t>
  </si>
  <si>
    <t>CU-MESA-001</t>
  </si>
  <si>
    <t>Hostess</t>
  </si>
  <si>
    <t>RF-MESA-002</t>
  </si>
  <si>
    <t>Gestión de estados de mesa</t>
  </si>
  <si>
    <t>CU-MESA-002</t>
  </si>
  <si>
    <t>Base original (v1.0 normalizada) · Estado SRS: Por desarrollar · Dependencias: RF-MESA-001</t>
  </si>
  <si>
    <t>RF-MESA-003</t>
  </si>
  <si>
    <t>Asignación de mesero a mesa</t>
  </si>
  <si>
    <t>CU-MESA-003</t>
  </si>
  <si>
    <t>Base original (v1.0 normalizada) · Estado SRS: Por desarrollar · Dependencias: RF-MESA-002</t>
  </si>
  <si>
    <t>RF-MESA-004</t>
  </si>
  <si>
    <t>Unión y división de mesas</t>
  </si>
  <si>
    <t>CU-MESA-004</t>
  </si>
  <si>
    <t>RF-MESA-005</t>
  </si>
  <si>
    <t>Transferencia de comanda entre mesas</t>
  </si>
  <si>
    <t>CU-MESA-005</t>
  </si>
  <si>
    <t>Mesero</t>
  </si>
  <si>
    <t>RF-MESA-006</t>
  </si>
  <si>
    <t>Solicitud de pre-cuenta</t>
  </si>
  <si>
    <t>CU-MESA-006</t>
  </si>
  <si>
    <t>Base original (v1.0 normalizada) · Estado SRS: Por desarrollar · Dependencias: RF-PAG-002</t>
  </si>
  <si>
    <t>RF-MESA-007</t>
  </si>
  <si>
    <t>Monitor de rotación y ocupación en tiempo real</t>
  </si>
  <si>
    <t>CU-MESA-007</t>
  </si>
  <si>
    <t>Gerente</t>
  </si>
  <si>
    <t>RF-MESA-008</t>
  </si>
  <si>
    <t>Alertas proactivas de demora por mesa</t>
  </si>
  <si>
    <t>CU-MESA-008</t>
  </si>
  <si>
    <t>RF-MESA-009</t>
  </si>
  <si>
    <t>Configuración de capacidad y zonas</t>
  </si>
  <si>
    <t>CU-MESA-009</t>
  </si>
  <si>
    <t>RF-ORD-001</t>
  </si>
  <si>
    <t>Selección de categorías de productos</t>
  </si>
  <si>
    <t>Gestión de Órdenes</t>
  </si>
  <si>
    <t>CU-ORD-001</t>
  </si>
  <si>
    <t>Base original (v1.0 normalizada) · Estado SRS: Por desarrollar · Dependencias: RF-MESA-003</t>
  </si>
  <si>
    <t>RF-ORD-002</t>
  </si>
  <si>
    <t>Selección y personalización de artículos</t>
  </si>
  <si>
    <t>CU-ORD-002</t>
  </si>
  <si>
    <t>Base original (v1.0 normalizada) · Estado SRS: Por desarrollar · Dependencias: RF-ORD-001</t>
  </si>
  <si>
    <t>RF-ORD-003</t>
  </si>
  <si>
    <t>Agregar productos adicionales a orden existente</t>
  </si>
  <si>
    <t>CU-ORD-003</t>
  </si>
  <si>
    <t>Base original (v1.0 normalizada) · Estado SRS: Por desarrollar · Dependencias: RF-ORD-002</t>
  </si>
  <si>
    <t>RF-ORD-004</t>
  </si>
  <si>
    <t>Revisión de orden actual</t>
  </si>
  <si>
    <t>CU-ORD-004</t>
  </si>
  <si>
    <t>RF-ORD-005</t>
  </si>
  <si>
    <t>Envío de orden a pantalla de cocina</t>
  </si>
  <si>
    <t>CU-ORD-005</t>
  </si>
  <si>
    <t>Base original (v1.0 normalizada) · Estado SRS: Por desarrollar · Dependencias: RF-ROUT-001, RF-COC-001</t>
  </si>
  <si>
    <t>RF-ORD-006</t>
  </si>
  <si>
    <t>Reportes y analítica de órdenes por mesero</t>
  </si>
  <si>
    <t>CU-ORD-006</t>
  </si>
  <si>
    <t>Base original (v1.0 normalizada) · Estado SRS: Por desarrollar · Dependencias: RF-BI-003</t>
  </si>
  <si>
    <t>RF-COC-001</t>
  </si>
  <si>
    <t>Vista por estación de cocina</t>
  </si>
  <si>
    <t>Pantallas de Cocina (KDS)</t>
  </si>
  <si>
    <t>CU-COC-001</t>
  </si>
  <si>
    <t>Cocinero</t>
  </si>
  <si>
    <t>Base original (v1.0 normalizada) · Estado SRS: Por desarrollar · Dependencias: RF-COC-004</t>
  </si>
  <si>
    <t>RF-COC-002</t>
  </si>
  <si>
    <t>Gestión de tickets digitales con temporizador</t>
  </si>
  <si>
    <t>CU-COC-002</t>
  </si>
  <si>
    <t>Base original (v1.0 normalizada) · Estado SRS: Por desarrollar · Dependencias: RF-COC-001</t>
  </si>
  <si>
    <t>RF-COC-003</t>
  </si>
  <si>
    <t>Visualización de modificadores del producto</t>
  </si>
  <si>
    <t>CU-COC-003</t>
  </si>
  <si>
    <t>RF-COC-004</t>
  </si>
  <si>
    <t>Enrutamiento inteligente de pedidos por categoría</t>
  </si>
  <si>
    <t>CU-COC-004</t>
  </si>
  <si>
    <t>Sistema (automático)</t>
  </si>
  <si>
    <t>Base original (v1.0 normalizada) · Estado SRS: Por desarrollar · Dependencias: RF-ROUT-002</t>
  </si>
  <si>
    <t>RF-COC-005</t>
  </si>
  <si>
    <t>Pantalla de expedidor / pase central</t>
  </si>
  <si>
    <t>CU-COC-005</t>
  </si>
  <si>
    <t>Expedidor</t>
  </si>
  <si>
    <t>RF-COC-006</t>
  </si>
  <si>
    <t>Notificación al mesero de orden lista</t>
  </si>
  <si>
    <t>CU-COC-006</t>
  </si>
  <si>
    <t>Base original (v1.0 normalizada) · Estado SRS: Por desarrollar · Dependencias: RF-COC-005</t>
  </si>
  <si>
    <t>RF-COC-007</t>
  </si>
  <si>
    <t>Detección de cuellos de botella y métricas de eficiencia</t>
  </si>
  <si>
    <t>CU-COC-007</t>
  </si>
  <si>
    <t>Jefe de cocina</t>
  </si>
  <si>
    <t>Base original (v1.0 normalizada) · Estado SRS: Por desarrollar · Dependencias: RF-COC-002</t>
  </si>
  <si>
    <t>RF-ROUT-001</t>
  </si>
  <si>
    <t>Recepción centralizada de órdenes</t>
  </si>
  <si>
    <t>Enrutamiento Central de Pedidos</t>
  </si>
  <si>
    <t>CU-ROUT-001</t>
  </si>
  <si>
    <t>RF-ROUT-002</t>
  </si>
  <si>
    <t>Enrutamiento automático por tipo de producto</t>
  </si>
  <si>
    <t>CU-ROUT-002</t>
  </si>
  <si>
    <t>Base original (v1.0 normalizada) · Estado SRS: Por desarrollar · Dependencias: RF-ROUT-001</t>
  </si>
  <si>
    <t>RF-ROUT-003</t>
  </si>
  <si>
    <t>Estación de compra en caja con destino manual</t>
  </si>
  <si>
    <t>CU-ROUT-003</t>
  </si>
  <si>
    <t>Cajero</t>
  </si>
  <si>
    <t>RF-ROUT-004</t>
  </si>
  <si>
    <t>Generación de ticket detallado de pedido</t>
  </si>
  <si>
    <t>CU-ROUT-004</t>
  </si>
  <si>
    <t>RF-PAG-001</t>
  </si>
  <si>
    <t>Integración de hardware de pago</t>
  </si>
  <si>
    <t>Gestión de Pagos (POS y Backoffice)</t>
  </si>
  <si>
    <t>CU-PAG-001</t>
  </si>
  <si>
    <t>RF-PAG-002</t>
  </si>
  <si>
    <t>Pantalla de cierre de pedido con métodos de pago</t>
  </si>
  <si>
    <t>CU-PAG-002</t>
  </si>
  <si>
    <t>Base original (v1.0 normalizada) · Estado SRS: Por desarrollar · Dependencias: RF-ROUT-004, RF-PAG-001</t>
  </si>
  <si>
    <t>RF-PAG-003</t>
  </si>
  <si>
    <t>Cálculo y registro de propina</t>
  </si>
  <si>
    <t>CU-PAG-003</t>
  </si>
  <si>
    <t>Cliente</t>
  </si>
  <si>
    <t>RF-PAG-004</t>
  </si>
  <si>
    <t>División de cuenta (Split Check)</t>
  </si>
  <si>
    <t>CU-PAG-004</t>
  </si>
  <si>
    <t>RF-PAG-005</t>
  </si>
  <si>
    <t>Cierre de turno y arqueo de caja</t>
  </si>
  <si>
    <t>CU-PAG-005</t>
  </si>
  <si>
    <t>RF-PAG-006</t>
  </si>
  <si>
    <t>Gestión de facturación electrónica (FEL) y reportes tributarios</t>
  </si>
  <si>
    <t>CU-PAG-006</t>
  </si>
  <si>
    <t>RF-PAG-007</t>
  </si>
  <si>
    <t>Dashboard de ventas por método y propina por mesero</t>
  </si>
  <si>
    <t>CU-PAG-007</t>
  </si>
  <si>
    <t>Base original (v1.0 normalizada) · Estado SRS: Por desarrollar · Dependencias: RF-PAG-005</t>
  </si>
  <si>
    <t>RF-PAG-008</t>
  </si>
  <si>
    <t>Registro contable automático</t>
  </si>
  <si>
    <t>CU-PAG-008</t>
  </si>
  <si>
    <t>RF-INV-001</t>
  </si>
  <si>
    <t>Gestión de ingredientes y recetas (BOM)</t>
  </si>
  <si>
    <t>Inventarios y Recetas</t>
  </si>
  <si>
    <t>CU-INV-001</t>
  </si>
  <si>
    <t>RF-INV-002</t>
  </si>
  <si>
    <t>Descuento automático de stock por venta</t>
  </si>
  <si>
    <t>CU-INV-002</t>
  </si>
  <si>
    <t>Base original (v1.0 normalizada) · Estado SRS: Por desarrollar · Dependencias: RF-INV-001, RF-PAG-002</t>
  </si>
  <si>
    <t>RF-INV-003</t>
  </si>
  <si>
    <t>Registro de entradas de inventario</t>
  </si>
  <si>
    <t>CU-INV-003</t>
  </si>
  <si>
    <t>RF-INV-004</t>
  </si>
  <si>
    <t>Registro de salidas por merma o caducidad</t>
  </si>
  <si>
    <t>CU-INV-004</t>
  </si>
  <si>
    <t>Bodeguero</t>
  </si>
  <si>
    <t>Base original (v1.0 normalizada) · Estado SRS: Por desarrollar · Dependencias: RF-INV-003</t>
  </si>
  <si>
    <t>RF-INV-005</t>
  </si>
  <si>
    <t>Kardex de movimientos de inventario</t>
  </si>
  <si>
    <t>CU-INV-005</t>
  </si>
  <si>
    <t>Base original (v1.0 normalizada) · Estado SRS: Por desarrollar · Dependencias: RF-INV-003, RF-INV-004</t>
  </si>
  <si>
    <t>RF-INV-006</t>
  </si>
  <si>
    <t>Alertas de stock mínimo</t>
  </si>
  <si>
    <t>CU-INV-006</t>
  </si>
  <si>
    <t>Base original (v1.0 normalizada) · Estado SRS: Por desarrollar · Dependencias: RF-INV-002</t>
  </si>
  <si>
    <t>RF-INV-007</t>
  </si>
  <si>
    <t>Reporte de costo, precio y utilidad por platillo</t>
  </si>
  <si>
    <t>CU-INV-007</t>
  </si>
  <si>
    <t>Base original (v1.0 normalizada) · Estado SRS: Por desarrollar · Dependencias: RF-INV-001</t>
  </si>
  <si>
    <t>RF-RES-001</t>
  </si>
  <si>
    <t>Calendario de reservaciones</t>
  </si>
  <si>
    <t>Reservaciones y Lista de Espera</t>
  </si>
  <si>
    <t>CU-RES-001</t>
  </si>
  <si>
    <t>RF-RES-002</t>
  </si>
  <si>
    <t>Configuración de capacidad y depósito por turno</t>
  </si>
  <si>
    <t>CU-RES-002</t>
  </si>
  <si>
    <t>Base original (v1.0 normalizada) · Estado SRS: Por desarrollar · Dependencias: RF-RES-001</t>
  </si>
  <si>
    <t>RF-RES-003</t>
  </si>
  <si>
    <t>Registro de nueva reservación</t>
  </si>
  <si>
    <t>CU-RES-003</t>
  </si>
  <si>
    <t>Base original (v1.0 normalizada) · Estado SRS: Por desarrollar · Dependencias: RF-RES-002</t>
  </si>
  <si>
    <t>RF-RES-004</t>
  </si>
  <si>
    <t>Lista de espera inteligente para walk-ins</t>
  </si>
  <si>
    <t>CU-RES-004</t>
  </si>
  <si>
    <t>Base original (v1.0 normalizada) · Estado SRS: Por desarrollar · Dependencias: RF-MESA-007</t>
  </si>
  <si>
    <t>RF-RES-005</t>
  </si>
  <si>
    <t>Notificación al cliente vía WhatsApp/SMS</t>
  </si>
  <si>
    <t>CU-RES-005</t>
  </si>
  <si>
    <t>Base original (v1.0 normalizada) · Estado SRS: Por desarrollar · Dependencias: RF-RES-003, RF-RES-004</t>
  </si>
  <si>
    <t>RF-RES-006</t>
  </si>
  <si>
    <t>Sincronización de reservaciones con el mapa del salón</t>
  </si>
  <si>
    <t>CU-RES-006</t>
  </si>
  <si>
    <t>Base original (v1.0 normalizada) · Estado SRS: Por desarrollar · Dependencias: RF-MESA-002, RF-RES-003</t>
  </si>
  <si>
    <t>RF-RES-007</t>
  </si>
  <si>
    <t>Perfil de cliente integrado con CRM</t>
  </si>
  <si>
    <t>CU-RES-007</t>
  </si>
  <si>
    <t>Base original (v1.0 normalizada) · Estado SRS: Por desarrollar · Dependencias: RF-CRM-001</t>
  </si>
  <si>
    <t>RF-DEL-001</t>
  </si>
  <si>
    <t>Canal de captura de pedidos omnicanal</t>
  </si>
  <si>
    <t>Delivery, Pedidos Online y Repartidores</t>
  </si>
  <si>
    <t>CU-DEL-001</t>
  </si>
  <si>
    <t>RF-DEL-002</t>
  </si>
  <si>
    <t>Bot de pedidos por WhatsApp</t>
  </si>
  <si>
    <t>CU-DEL-002</t>
  </si>
  <si>
    <t>Base original (v1.0 normalizada) · Estado SRS: Por desarrollar · Dependencias: RF-DEL-001</t>
  </si>
  <si>
    <t>RF-DEL-003</t>
  </si>
  <si>
    <t>Integración con agregadores externos</t>
  </si>
  <si>
    <t>CU-DEL-003</t>
  </si>
  <si>
    <t>RF-DEL-004</t>
  </si>
  <si>
    <t>Despacho y asignación de repartidores</t>
  </si>
  <si>
    <t>CU-DEL-004</t>
  </si>
  <si>
    <t>Encargado de despacho</t>
  </si>
  <si>
    <t>RF-DEL-005</t>
  </si>
  <si>
    <t>App de repartidor</t>
  </si>
  <si>
    <t>CU-DEL-005</t>
  </si>
  <si>
    <t>Repartidor</t>
  </si>
  <si>
    <t>Base original (v1.0 normalizada) · Estado SRS: Por desarrollar · Dependencias: RF-DEL-004</t>
  </si>
  <si>
    <t>RF-DEL-006</t>
  </si>
  <si>
    <t>Zonificación y mapa de repartidores con GPS</t>
  </si>
  <si>
    <t>CU-DEL-006</t>
  </si>
  <si>
    <t>Base original (v1.0 normalizada) · Estado SRS: Por desarrollar · Dependencias: RF-DEL-005</t>
  </si>
  <si>
    <t>RF-DEL-007</t>
  </si>
  <si>
    <t>Cierre de turno y arqueo de delivery</t>
  </si>
  <si>
    <t>CU-DEL-007</t>
  </si>
  <si>
    <t>RF-DEL-008</t>
  </si>
  <si>
    <t>Dashboard de delivery</t>
  </si>
  <si>
    <t>CU-DEL-008</t>
  </si>
  <si>
    <t>Base original (v1.0 normalizada) · Estado SRS: Por desarrollar · Dependencias: RF-DEL-007</t>
  </si>
  <si>
    <t>RF-RRHH-001</t>
  </si>
  <si>
    <t>Planificador de turnos por roles</t>
  </si>
  <si>
    <t>Turnos, Horarios y Propinas</t>
  </si>
  <si>
    <t>CU-RRHH-001</t>
  </si>
  <si>
    <t>RF-RRHH-002</t>
  </si>
  <si>
    <t>Intercambio de turnos con aprobación</t>
  </si>
  <si>
    <t>CU-RRHH-002</t>
  </si>
  <si>
    <t>Empleado</t>
  </si>
  <si>
    <t>Base original (v1.0 normalizada) · Estado SRS: Por desarrollar · Dependencias: RF-RRHH-001</t>
  </si>
  <si>
    <t>RF-RRHH-003</t>
  </si>
  <si>
    <t>Control de asistencia y puntualidad biométrico</t>
  </si>
  <si>
    <t>CU-RRHH-003</t>
  </si>
  <si>
    <t>RF-RRHH-004</t>
  </si>
  <si>
    <t>Alerta de gerencia por calificación baja</t>
  </si>
  <si>
    <t>CU-RRHH-004</t>
  </si>
  <si>
    <t>RF-RRHH-005</t>
  </si>
  <si>
    <t>Motor de distribución de propinas (Tip Pool)</t>
  </si>
  <si>
    <t>CU-RRHH-005</t>
  </si>
  <si>
    <t>Base original (v1.0 normalizada) · Estado SRS: Por desarrollar · Dependencias: RF-PAG-003</t>
  </si>
  <si>
    <t>RF-RRHH-006</t>
  </si>
  <si>
    <t>Billetera virtual de propinas</t>
  </si>
  <si>
    <t>CU-RRHH-006</t>
  </si>
  <si>
    <t>Base original (v1.0 normalizada) · Estado SRS: Por desarrollar · Dependencias: RF-RRHH-005</t>
  </si>
  <si>
    <t>RF-RRHH-007</t>
  </si>
  <si>
    <t>Liquidación operativa de turnos y propinas</t>
  </si>
  <si>
    <t>CU-RRHH-007</t>
  </si>
  <si>
    <t>RF-RRHH-008</t>
  </si>
  <si>
    <t>Dashboard ejecutivo de RRHH</t>
  </si>
  <si>
    <t>CU-RRHH-008</t>
  </si>
  <si>
    <t>Base original (v1.0 normalizada) · Estado SRS: Por desarrollar · Dependencias: RF-RRHH-007</t>
  </si>
  <si>
    <t>RF-BI-001</t>
  </si>
  <si>
    <t>Matriz de ingeniería de menú</t>
  </si>
  <si>
    <t>Reportes, Business Intelligence y Analítica</t>
  </si>
  <si>
    <t>CU-BI-001</t>
  </si>
  <si>
    <t>Base original (v1.0 normalizada) · Estado SRS: Por desarrollar · Dependencias: RF-INV-007</t>
  </si>
  <si>
    <t>RF-BI-002</t>
  </si>
  <si>
    <t>Mapa de calor de horas pico</t>
  </si>
  <si>
    <t>CU-BI-002</t>
  </si>
  <si>
    <t>RF-BI-003</t>
  </si>
  <si>
    <t>KPIs clave de operación</t>
  </si>
  <si>
    <t>CU-BI-003</t>
  </si>
  <si>
    <t>Base original (v1.0 normalizada) · Estado SRS: Por desarrollar · Dependencias: RF-PAG-005, RF-INV-007</t>
  </si>
  <si>
    <t>RF-BI-004</t>
  </si>
  <si>
    <t>Registro de anulaciones (voids)</t>
  </si>
  <si>
    <t>CU-BI-004</t>
  </si>
  <si>
    <t>RF-BI-005</t>
  </si>
  <si>
    <t>Auditoría de cortesías y descuentos</t>
  </si>
  <si>
    <t>CU-BI-005</t>
  </si>
  <si>
    <t>RF-BI-006</t>
  </si>
  <si>
    <t>Dashboard ejecutivo en vivo</t>
  </si>
  <si>
    <t>CU-BI-006</t>
  </si>
  <si>
    <t>Dueño</t>
  </si>
  <si>
    <t>Base original (v1.0 normalizada) · Estado SRS: Por desarrollar · Dependencias: RF-PAG-005, RF-MESA-007</t>
  </si>
  <si>
    <t>RF-BI-007</t>
  </si>
  <si>
    <t>Envío automático de cierre diario</t>
  </si>
  <si>
    <t>CU-BI-007</t>
  </si>
  <si>
    <t>RF-BI-008</t>
  </si>
  <si>
    <t>Exportación contable a Excel/CSV</t>
  </si>
  <si>
    <t>CU-BI-008</t>
  </si>
  <si>
    <t>Base original (v1.0 normalizada) · Estado SRS: Por desarrollar · Dependencias: RF-PAG-008</t>
  </si>
  <si>
    <t>RF-QR-001</t>
  </si>
  <si>
    <t>Escaneo de QR dinámico vinculado a mesa</t>
  </si>
  <si>
    <t>Menú Digital QR y Auto-Pedido</t>
  </si>
  <si>
    <t>CU-QR-001</t>
  </si>
  <si>
    <t>RF-QR-002</t>
  </si>
  <si>
    <t>Menú digital interactivo</t>
  </si>
  <si>
    <t>CU-QR-002</t>
  </si>
  <si>
    <t>Base original (v1.0 normalizada) · Estado SRS: Por desarrollar · Dependencias: RF-QR-001</t>
  </si>
  <si>
    <t>RF-QR-003</t>
  </si>
  <si>
    <t>Modos de pedido desde QR</t>
  </si>
  <si>
    <t>CU-QR-003</t>
  </si>
  <si>
    <t>Base original (v1.0 normalizada) · Estado SRS: Por desarrollar · Dependencias: RF-QR-002</t>
  </si>
  <si>
    <t>RF-QR-004</t>
  </si>
  <si>
    <t>Pago integrado en mesa</t>
  </si>
  <si>
    <t>CU-QR-004</t>
  </si>
  <si>
    <t>RF-QR-005</t>
  </si>
  <si>
    <t>Emisión de FEL instantánea desde QR</t>
  </si>
  <si>
    <t>CU-QR-005</t>
  </si>
  <si>
    <t>Base original (v1.0 normalizada) · Estado SRS: Por desarrollar · Dependencias: RF-PAG-006, RF-QR-004</t>
  </si>
  <si>
    <t>RF-QR-006</t>
  </si>
  <si>
    <t>Panel backoffice de gestión de menú y precios</t>
  </si>
  <si>
    <t>CU-QR-006</t>
  </si>
  <si>
    <t>RF-QR-007</t>
  </si>
  <si>
    <t>Gestión de banners promocionales</t>
  </si>
  <si>
    <t>CU-QR-007</t>
  </si>
  <si>
    <t>Base original (v1.0 normalizada) · Estado SRS: Por desarrollar · Dependencias: RF-QR-006</t>
  </si>
  <si>
    <t>RF-CRM-001</t>
  </si>
  <si>
    <t>Perfil 360° del cliente</t>
  </si>
  <si>
    <t>Fidelización, CRM y Marketing</t>
  </si>
  <si>
    <t>CU-CRM-001</t>
  </si>
  <si>
    <t>RF-CRM-002</t>
  </si>
  <si>
    <t>Historial de visitas y consumo</t>
  </si>
  <si>
    <t>CU-CRM-002</t>
  </si>
  <si>
    <t>Base original (v1.0 normalizada) · Estado SRS: Por desarrollar · Dependencias: RF-CRM-001, RF-PAG-002</t>
  </si>
  <si>
    <t>RF-CRM-003</t>
  </si>
  <si>
    <t>Sistema de puntos/cashback configurable</t>
  </si>
  <si>
    <t>CU-CRM-003</t>
  </si>
  <si>
    <t>RF-CRM-004</t>
  </si>
  <si>
    <t>Niveles de membresía (tiers)</t>
  </si>
  <si>
    <t>CU-CRM-004</t>
  </si>
  <si>
    <t>Base original (v1.0 normalizada) · Estado SRS: Por desarrollar · Dependencias: RF-CRM-003</t>
  </si>
  <si>
    <t>RF-CRM-005</t>
  </si>
  <si>
    <t>Billetera virtual del cliente</t>
  </si>
  <si>
    <t>CU-CRM-005</t>
  </si>
  <si>
    <t>RF-CRM-006</t>
  </si>
  <si>
    <t>Disparadores automáticos de marketing</t>
  </si>
  <si>
    <t>CU-CRM-006</t>
  </si>
  <si>
    <t>Base original (v1.0 normalizada) · Estado SRS: Por desarrollar · Dependencias: RF-CRM-002</t>
  </si>
  <si>
    <t>RF-CRM-007</t>
  </si>
  <si>
    <t>Segmentación de audiencias para campañas</t>
  </si>
  <si>
    <t>CU-CRM-007</t>
  </si>
  <si>
    <t>Marketing</t>
  </si>
  <si>
    <t>RF-CRM-008</t>
  </si>
  <si>
    <t>Dashboard de fidelización y CRM</t>
  </si>
  <si>
    <t>CU-CRM-008</t>
  </si>
  <si>
    <t>Base original (v1.0 normalizada) · Estado SRS: Por desarrollar · Dependencias: RF-CRM-004</t>
  </si>
  <si>
    <t>RF-AUTH-010</t>
  </si>
  <si>
    <t>Gestión de roles y permisos (RBAC)</t>
  </si>
  <si>
    <t>CU-AUTH-010</t>
  </si>
  <si>
    <t>Análisis de brecha v2.0 · Estado SRS: Propuesto para validación · Dependencias: RF-AUTH-001</t>
  </si>
  <si>
    <t>RF-AUTH-011</t>
  </si>
  <si>
    <t>Alta, baja, bloqueo y reactivación de usuarios</t>
  </si>
  <si>
    <t>CU-AUTH-011</t>
  </si>
  <si>
    <t>Análisis de brecha v2.0 · Estado SRS: Propuesto para validación · Dependencias: RF-AUTH-010</t>
  </si>
  <si>
    <t>RF-AUTH-012</t>
  </si>
  <si>
    <t>Política configurable de contraseñas y sesiones</t>
  </si>
  <si>
    <t>CU-AUTH-012</t>
  </si>
  <si>
    <t>Análisis de brecha v2.0 · Estado SRS: Propuesto para validación · Dependencias: RF-AUTH-001, RF-AUTH-009</t>
  </si>
  <si>
    <t>RF-CAT-001</t>
  </si>
  <si>
    <t>Catálogo maestro de productos y platillos</t>
  </si>
  <si>
    <t>Catálogo, Menú, Precios y Disponibilidad</t>
  </si>
  <si>
    <t>CU-CAT-001</t>
  </si>
  <si>
    <t>Análisis de brecha v2.0 · Estado SRS: Propuesto para validación · Dependencias: RF-ORD-001, RF-QR-002</t>
  </si>
  <si>
    <t>RF-CAT-002</t>
  </si>
  <si>
    <t>Modificadores y grupos de opciones</t>
  </si>
  <si>
    <t>CU-CAT-002</t>
  </si>
  <si>
    <t>Análisis de brecha v2.0 · Estado SRS: Propuesto para validación · Dependencias: RF-ORD-002, RF-COC-003</t>
  </si>
  <si>
    <t>RF-CAT-003</t>
  </si>
  <si>
    <t>Combos y promociones configurables</t>
  </si>
  <si>
    <t>CU-CAT-003</t>
  </si>
  <si>
    <t>Análisis de brecha v2.0 · Estado SRS: Propuesto para validación · Dependencias: RF-PAG-002, RF-CRM-006</t>
  </si>
  <si>
    <t>RF-CAT-004</t>
  </si>
  <si>
    <t>Listas de precios por canal, sucursal y franja horaria</t>
  </si>
  <si>
    <t>CU-CAT-004</t>
  </si>
  <si>
    <t>Análisis de brecha v2.0 · Estado SRS: Propuesto para validación · Dependencias: RF-CAT-001</t>
  </si>
  <si>
    <t>RF-CAT-005</t>
  </si>
  <si>
    <t>Disponibilidad temporal y agotados en tiempo real</t>
  </si>
  <si>
    <t>CU-CAT-005</t>
  </si>
  <si>
    <t>Análisis de brecha v2.0 · Estado SRS: Propuesto para validación · Dependencias: RF-CAT-001, RF-INV-006</t>
  </si>
  <si>
    <t>RF-CAT-006</t>
  </si>
  <si>
    <t>Alérgenos, etiquetas e información informativa del menú</t>
  </si>
  <si>
    <t>CU-CAT-006</t>
  </si>
  <si>
    <t>Análisis de brecha v2.0 · Estado SRS: Propuesto para validación · Dependencias: RF-QR-002, RF-ORD-002</t>
  </si>
  <si>
    <t>RF-PUR-001</t>
  </si>
  <si>
    <t>Maestro de proveedores</t>
  </si>
  <si>
    <t>Compras y Proveedores</t>
  </si>
  <si>
    <t>CU-PUR-001</t>
  </si>
  <si>
    <t>Encargado de compras</t>
  </si>
  <si>
    <t>Análisis de brecha v2.0 · Estado SRS: Propuesto para validación · Dependencias: RF-INV-003</t>
  </si>
  <si>
    <t>RF-PUR-002</t>
  </si>
  <si>
    <t>Solicitud y orden de compra</t>
  </si>
  <si>
    <t>CU-PUR-002</t>
  </si>
  <si>
    <t>Análisis de brecha v2.0 · Estado SRS: Propuesto para validación · Dependencias: RF-PUR-001</t>
  </si>
  <si>
    <t>RF-PUR-003</t>
  </si>
  <si>
    <t>Flujo de aprobación de compras por monto</t>
  </si>
  <si>
    <t>CU-PUR-003</t>
  </si>
  <si>
    <t>Análisis de brecha v2.0 · Estado SRS: Propuesto para validación · Dependencias: RF-PUR-002, RF-AUTH-010</t>
  </si>
  <si>
    <t>RF-PUR-004</t>
  </si>
  <si>
    <t>Recepción parcial o total contra orden de compra</t>
  </si>
  <si>
    <t>CU-PUR-004</t>
  </si>
  <si>
    <t>Análisis de brecha v2.0 · Estado SRS: Propuesto para validación · Dependencias: RF-PUR-002, RF-INV-003</t>
  </si>
  <si>
    <t>RF-PUR-005</t>
  </si>
  <si>
    <t>Actualización de costo y conciliación documental</t>
  </si>
  <si>
    <t>CU-PUR-005</t>
  </si>
  <si>
    <t>Compras</t>
  </si>
  <si>
    <t>Análisis de brecha v2.0 · Estado SRS: Propuesto para validación · Dependencias: RF-PUR-004, RF-INV-007</t>
  </si>
  <si>
    <t>RF-INV-008</t>
  </si>
  <si>
    <t>Conteo físico y conciliación de inventario</t>
  </si>
  <si>
    <t>CU-INV-008</t>
  </si>
  <si>
    <t>Análisis de brecha v2.0 · Estado SRS: Propuesto para validación · Dependencias: RF-INV-005</t>
  </si>
  <si>
    <t>RF-INV-009</t>
  </si>
  <si>
    <t>Transferencias entre bodegas o sucursales</t>
  </si>
  <si>
    <t>CU-INV-009</t>
  </si>
  <si>
    <t>Análisis de brecha v2.0 · Estado SRS: Propuesto para validación · Dependencias: RF-INV-005, RF-CFG-001</t>
  </si>
  <si>
    <t>RF-INV-010</t>
  </si>
  <si>
    <t>Unidades de medida y conversiones</t>
  </si>
  <si>
    <t>CU-INV-010</t>
  </si>
  <si>
    <t>Análisis de brecha v2.0 · Estado SRS: Propuesto para validación · Dependencias: RF-INV-001, RF-INV-002</t>
  </si>
  <si>
    <t>RF-INV-011</t>
  </si>
  <si>
    <t>Lotes y fechas de caducidad</t>
  </si>
  <si>
    <t>CU-INV-011</t>
  </si>
  <si>
    <t>Análisis de brecha v2.0 · Estado SRS: Propuesto para validación · Dependencias: RF-INV-004, RF-INV-005</t>
  </si>
  <si>
    <t>RF-ORD-007</t>
  </si>
  <si>
    <t>Asignación de productos por comensal/asiento</t>
  </si>
  <si>
    <t>CU-ORD-007</t>
  </si>
  <si>
    <t>Análisis de brecha v2.0 · Estado SRS: Propuesto para validación · Dependencias: RF-PAG-004</t>
  </si>
  <si>
    <t>RF-ORD-008</t>
  </si>
  <si>
    <t>Retención y liberación de tiempos/cursos (hold/fire)</t>
  </si>
  <si>
    <t>CU-ORD-008</t>
  </si>
  <si>
    <t>Análisis de brecha v2.0 · Estado SRS: Propuesto para validación · Dependencias: RF-COC-002, RF-ORD-005</t>
  </si>
  <si>
    <t>RF-PAG-009</t>
  </si>
  <si>
    <t>Pagos mixtos y parciales</t>
  </si>
  <si>
    <t>CU-PAG-009</t>
  </si>
  <si>
    <t>Análisis de brecha v2.0 · Estado SRS: Propuesto para validación · Dependencias: RF-PAG-002</t>
  </si>
  <si>
    <t>RF-PAG-010</t>
  </si>
  <si>
    <t>Reembolsos y reversos autorizados</t>
  </si>
  <si>
    <t>CU-PAG-010</t>
  </si>
  <si>
    <t>Análisis de brecha v2.0 · Estado SRS: Propuesto para validación · Dependencias: RF-PAG-002, RF-AUTH-010</t>
  </si>
  <si>
    <t>RF-PAG-011</t>
  </si>
  <si>
    <t>Movimientos de caja no asociados a venta</t>
  </si>
  <si>
    <t>CU-PAG-011</t>
  </si>
  <si>
    <t>Análisis de brecha v2.0 · Estado SRS: Propuesto para validación · Dependencias: RF-PAG-005</t>
  </si>
  <si>
    <t>RF-RES-008</t>
  </si>
  <si>
    <t>Gestión de depósitos, devoluciones y no-show</t>
  </si>
  <si>
    <t>CU-RES-008</t>
  </si>
  <si>
    <t>Análisis de brecha v2.0 · Estado SRS: Propuesto para validación · Dependencias: RF-RES-002, RF-PAG-002</t>
  </si>
  <si>
    <t>RF-DEL-009</t>
  </si>
  <si>
    <t>Seguimiento de estados y ETA para el cliente</t>
  </si>
  <si>
    <t>CU-DEL-009</t>
  </si>
  <si>
    <t>Análisis de brecha v2.0 · Estado SRS: Propuesto para validación · Dependencias: RF-DEL-004, RF-DEL-006</t>
  </si>
  <si>
    <t>RF-CRM-009</t>
  </si>
  <si>
    <t>Consentimientos y preferencias de comunicación</t>
  </si>
  <si>
    <t>CU-CRM-009</t>
  </si>
  <si>
    <t>Análisis de brecha v2.0 · Estado SRS: Propuesto para validación · Dependencias: RF-CRM-006, RF-CRM-007</t>
  </si>
  <si>
    <t>RF-CFG-001</t>
  </si>
  <si>
    <t>Configuración de sucursales, zonas, bodegas y terminales</t>
  </si>
  <si>
    <t>Configuración, Sucursales e Integraciones</t>
  </si>
  <si>
    <t>CU-CFG-001</t>
  </si>
  <si>
    <t>RF-CFG-002</t>
  </si>
  <si>
    <t>Parámetros de servicio, impuestos y propina por sucursal</t>
  </si>
  <si>
    <t>CU-CFG-002</t>
  </si>
  <si>
    <t>Análisis de brecha v2.0 · Estado SRS: Propuesto para validación · Dependencias: RF-PAG-003, RF-CAT-004</t>
  </si>
  <si>
    <t>RF-CFG-003</t>
  </si>
  <si>
    <t>Gestión segura de credenciales de integraciones</t>
  </si>
  <si>
    <t>CU-CFG-003</t>
  </si>
  <si>
    <t>Administrador técnico</t>
  </si>
  <si>
    <t>RF-CFG-004</t>
  </si>
  <si>
    <t>Plantillas de notificación y canales</t>
  </si>
  <si>
    <t>CU-CFG-004</t>
  </si>
  <si>
    <t>Análisis de brecha v2.0 · Estado SRS: Propuesto para validación · Dependencias: RF-RES-005, RF-CRM-006</t>
  </si>
  <si>
    <t>TRAZABILIDAD — REQUERIMIENTOS FUNCIONALES ↔ NO FUNCIONALES</t>
  </si>
  <si>
    <t>Mapeo de 131 RF con 22 RNF · 783 vínculos documentales · Versión 2.0</t>
  </si>
  <si>
    <t>ID RF</t>
  </si>
  <si>
    <t>Nombre RF</t>
  </si>
  <si>
    <t>ID RNF</t>
  </si>
  <si>
    <t>Nombre RNF</t>
  </si>
  <si>
    <t>Categoría ISO/IEC 25010</t>
  </si>
  <si>
    <t>Descripción del Vínculo</t>
  </si>
  <si>
    <t>Prioridad RNF</t>
  </si>
  <si>
    <t>Estado Enlace RF</t>
  </si>
  <si>
    <t>Estado RNF</t>
  </si>
  <si>
    <t>RNF-002</t>
  </si>
  <si>
    <t>Seguridad</t>
  </si>
  <si>
    <t>El RF RF-AUTH-001-BASICO debe observar seguridad dentro del módulo Autenticación y Control de Acceso y validarse junto con el criterio de aceptación del RF/CU.</t>
  </si>
  <si>
    <t>Mapeo alineado con Casos de Uso v2.0.</t>
  </si>
  <si>
    <t>RNF-010</t>
  </si>
  <si>
    <t>Auditabilidad</t>
  </si>
  <si>
    <t>El RF RF-AUTH-001-BASICO debe observar auditabilidad dentro del módulo Autenticación y Control de Acceso y validarse junto con el criterio de aceptación del RF/CU.</t>
  </si>
  <si>
    <t>RNF-013</t>
  </si>
  <si>
    <t>Observabilidad</t>
  </si>
  <si>
    <t>Mantenibilidad / Fiabilidad</t>
  </si>
  <si>
    <t>El RF RF-AUTH-001-BASICO debe observar observabilidad dentro del módulo Autenticación y Control de Acceso y validarse junto con el criterio de aceptación del RF/CU.</t>
  </si>
  <si>
    <t>RNF-019</t>
  </si>
  <si>
    <t>Retención y Archivo</t>
  </si>
  <si>
    <t>Seguridad / Fiabilidad</t>
  </si>
  <si>
    <t>El RF RF-AUTH-001-BASICO debe observar retención y archivo dentro del módulo Autenticación y Control de Acceso y validarse junto con el criterio de aceptación del RF/CU.</t>
  </si>
  <si>
    <t>RNF-022</t>
  </si>
  <si>
    <t>Segregación de Datos Multi-sucursal</t>
  </si>
  <si>
    <t>El RF RF-AUTH-001-BASICO debe observar segregación de datos multi-sucursal dentro del módulo Autenticación y Control de Acceso y validarse junto con el criterio de aceptación del RF/CU.</t>
  </si>
  <si>
    <t>El RF RF-AUTH-002-BASICO debe observar seguridad dentro del módulo Autenticación y Control de Acceso y validarse junto con el criterio de aceptación del RF/CU.</t>
  </si>
  <si>
    <t>El RF RF-AUTH-002-BASICO debe observar auditabilidad dentro del módulo Autenticación y Control de Acceso y validarse junto con el criterio de aceptación del RF/CU.</t>
  </si>
  <si>
    <t>El RF RF-AUTH-002-BASICO debe observar observabilidad dentro del módulo Autenticación y Control de Acceso y validarse junto con el criterio de aceptación del RF/CU.</t>
  </si>
  <si>
    <t>El RF RF-AUTH-002-BASICO debe observar retención y archivo dentro del módulo Autenticación y Control de Acceso y validarse junto con el criterio de aceptación del RF/CU.</t>
  </si>
  <si>
    <t>El RF RF-AUTH-002-BASICO debe observar segregación de datos multi-sucursal dentro del módulo Autenticación y Control de Acceso y validarse junto con el criterio de aceptación del RF/CU.</t>
  </si>
  <si>
    <t>El RF RF-AUTH-003-PREMIUM debe observar seguridad dentro del módulo Autenticación y Control de Acceso y validarse junto con el criterio de aceptación del RF/CU.</t>
  </si>
  <si>
    <t>El RF RF-AUTH-003-PREMIUM debe observar auditabilidad dentro del módulo Autenticación y Control de Acceso y validarse junto con el criterio de aceptación del RF/CU.</t>
  </si>
  <si>
    <t>El RF RF-AUTH-003-PREMIUM debe observar observabilidad dentro del módulo Autenticación y Control de Acceso y validarse junto con el criterio de aceptación del RF/CU.</t>
  </si>
  <si>
    <t>El RF RF-AUTH-003-PREMIUM debe observar retención y archivo dentro del módulo Autenticación y Control de Acceso y validarse junto con el criterio de aceptación del RF/CU.</t>
  </si>
  <si>
    <t>El RF RF-AUTH-003-PREMIUM debe observar segregación de datos multi-sucursal dentro del módulo Autenticación y Control de Acceso y validarse junto con el criterio de aceptación del RF/CU.</t>
  </si>
  <si>
    <t>El RF RF-AUTH-004-PREMIUM debe observar seguridad dentro del módulo Autenticación y Control de Acceso y validarse junto con el criterio de aceptación del RF/CU.</t>
  </si>
  <si>
    <t>El RF RF-AUTH-004-PREMIUM debe observar auditabilidad dentro del módulo Autenticación y Control de Acceso y validarse junto con el criterio de aceptación del RF/CU.</t>
  </si>
  <si>
    <t>El RF RF-AUTH-004-PREMIUM debe observar observabilidad dentro del módulo Autenticación y Control de Acceso y validarse junto con el criterio de aceptación del RF/CU.</t>
  </si>
  <si>
    <t>El RF RF-AUTH-004-PREMIUM debe observar retención y archivo dentro del módulo Autenticación y Control de Acceso y validarse junto con el criterio de aceptación del RF/CU.</t>
  </si>
  <si>
    <t>El RF RF-AUTH-004-PREMIUM debe observar segregación de datos multi-sucursal dentro del módulo Autenticación y Control de Acceso y validarse junto con el criterio de aceptación del RF/CU.</t>
  </si>
  <si>
    <t>El RF RF-AUTH-005-PREMIUM debe observar seguridad dentro del módulo Autenticación y Control de Acceso y validarse junto con el criterio de aceptación del RF/CU.</t>
  </si>
  <si>
    <t>El RF RF-AUTH-005-PREMIUM debe observar auditabilidad dentro del módulo Autenticación y Control de Acceso y validarse junto con el criterio de aceptación del RF/CU.</t>
  </si>
  <si>
    <t>El RF RF-AUTH-005-PREMIUM debe observar observabilidad dentro del módulo Autenticación y Control de Acceso y validarse junto con el criterio de aceptación del RF/CU.</t>
  </si>
  <si>
    <t>El RF RF-AUTH-005-PREMIUM debe observar retención y archivo dentro del módulo Autenticación y Control de Acceso y validarse junto con el criterio de aceptación del RF/CU.</t>
  </si>
  <si>
    <t>El RF RF-AUTH-005-PREMIUM debe observar segregación de datos multi-sucursal dentro del módulo Autenticación y Control de Acceso y validarse junto con el criterio de aceptación del RF/CU.</t>
  </si>
  <si>
    <t>El RF RF-AUTH-006-GOLD debe observar seguridad dentro del módulo Autenticación y Control de Acceso y validarse junto con el criterio de aceptación del RF/CU.</t>
  </si>
  <si>
    <t>El RF RF-AUTH-006-GOLD debe observar auditabilidad dentro del módulo Autenticación y Control de Acceso y validarse junto con el criterio de aceptación del RF/CU.</t>
  </si>
  <si>
    <t>El RF RF-AUTH-006-GOLD debe observar observabilidad dentro del módulo Autenticación y Control de Acceso y validarse junto con el criterio de aceptación del RF/CU.</t>
  </si>
  <si>
    <t>El RF RF-AUTH-006-GOLD debe observar retención y archivo dentro del módulo Autenticación y Control de Acceso y validarse junto con el criterio de aceptación del RF/CU.</t>
  </si>
  <si>
    <t>El RF RF-AUTH-006-GOLD debe observar segregación de datos multi-sucursal dentro del módulo Autenticación y Control de Acceso y validarse junto con el criterio de aceptación del RF/CU.</t>
  </si>
  <si>
    <t>El RF RF-AUTH-007-GOLD debe observar seguridad dentro del módulo Autenticación y Control de Acceso y validarse junto con el criterio de aceptación del RF/CU.</t>
  </si>
  <si>
    <t>El RF RF-AUTH-007-GOLD debe observar auditabilidad dentro del módulo Autenticación y Control de Acceso y validarse junto con el criterio de aceptación del RF/CU.</t>
  </si>
  <si>
    <t>El RF RF-AUTH-007-GOLD debe observar observabilidad dentro del módulo Autenticación y Control de Acceso y validarse junto con el criterio de aceptación del RF/CU.</t>
  </si>
  <si>
    <t>El RF RF-AUTH-007-GOLD debe observar retención y archivo dentro del módulo Autenticación y Control de Acceso y validarse junto con el criterio de aceptación del RF/CU.</t>
  </si>
  <si>
    <t>El RF RF-AUTH-007-GOLD debe observar segregación de datos multi-sucursal dentro del módulo Autenticación y Control de Acceso y validarse junto con el criterio de aceptación del RF/CU.</t>
  </si>
  <si>
    <t>El RF RF-AUTH-008-GOLD debe observar seguridad dentro del módulo Autenticación y Control de Acceso y validarse junto con el criterio de aceptación del RF/CU.</t>
  </si>
  <si>
    <t>El RF RF-AUTH-008-GOLD debe observar auditabilidad dentro del módulo Autenticación y Control de Acceso y validarse junto con el criterio de aceptación del RF/CU.</t>
  </si>
  <si>
    <t>El RF RF-AUTH-008-GOLD debe observar observabilidad dentro del módulo Autenticación y Control de Acceso y validarse junto con el criterio de aceptación del RF/CU.</t>
  </si>
  <si>
    <t>El RF RF-AUTH-008-GOLD debe observar retención y archivo dentro del módulo Autenticación y Control de Acceso y validarse junto con el criterio de aceptación del RF/CU.</t>
  </si>
  <si>
    <t>El RF RF-AUTH-008-GOLD debe observar segregación de datos multi-sucursal dentro del módulo Autenticación y Control de Acceso y validarse junto con el criterio de aceptación del RF/CU.</t>
  </si>
  <si>
    <t>El RF RF-AUTH-009 debe observar seguridad dentro del módulo Autenticación y Control de Acceso y validarse junto con el criterio de aceptación del RF/CU.</t>
  </si>
  <si>
    <t>El RF RF-AUTH-009 debe observar auditabilidad dentro del módulo Autenticación y Control de Acceso y validarse junto con el criterio de aceptación del RF/CU.</t>
  </si>
  <si>
    <t>El RF RF-AUTH-009 debe observar observabilidad dentro del módulo Autenticación y Control de Acceso y validarse junto con el criterio de aceptación del RF/CU.</t>
  </si>
  <si>
    <t>El RF RF-AUTH-009 debe observar retención y archivo dentro del módulo Autenticación y Control de Acceso y validarse junto con el criterio de aceptación del RF/CU.</t>
  </si>
  <si>
    <t>El RF RF-AUTH-009 debe observar segregación de datos multi-sucursal dentro del módulo Autenticación y Control de Acceso y validarse junto con el criterio de aceptación del RF/CU.</t>
  </si>
  <si>
    <t>El RF RF-REG-001-BASICO debe observar seguridad dentro del módulo Registro y Gestión de Personal y validarse junto con el criterio de aceptación del RF/CU.</t>
  </si>
  <si>
    <t>El RF RF-REG-001-BASICO debe observar auditabilidad dentro del módulo Registro y Gestión de Personal y validarse junto con el criterio de aceptación del RF/CU.</t>
  </si>
  <si>
    <t>RNF-014</t>
  </si>
  <si>
    <t>Privacidad y Minimización</t>
  </si>
  <si>
    <t>El RF RF-REG-001-BASICO debe observar privacidad y minimización dentro del módulo Registro y Gestión de Personal y validarse junto con el criterio de aceptación del RF/CU.</t>
  </si>
  <si>
    <t>El RF RF-REG-001-BASICO debe observar retención y archivo dentro del módulo Registro y Gestión de Personal y validarse junto con el criterio de aceptación del RF/CU.</t>
  </si>
  <si>
    <t>El RF RF-REG-001-BASICO debe observar segregación de datos multi-sucursal dentro del módulo Registro y Gestión de Personal y validarse junto con el criterio de aceptación del RF/CU.</t>
  </si>
  <si>
    <t>El RF RF-REG-002-BASICO debe observar seguridad dentro del módulo Registro y Gestión de Personal y validarse junto con el criterio de aceptación del RF/CU.</t>
  </si>
  <si>
    <t>El RF RF-REG-002-BASICO debe observar auditabilidad dentro del módulo Registro y Gestión de Personal y validarse junto con el criterio de aceptación del RF/CU.</t>
  </si>
  <si>
    <t>El RF RF-REG-002-BASICO debe observar privacidad y minimización dentro del módulo Registro y Gestión de Personal y validarse junto con el criterio de aceptación del RF/CU.</t>
  </si>
  <si>
    <t>El RF RF-REG-002-BASICO debe observar retención y archivo dentro del módulo Registro y Gestión de Personal y validarse junto con el criterio de aceptación del RF/CU.</t>
  </si>
  <si>
    <t>El RF RF-REG-002-BASICO debe observar segregación de datos multi-sucursal dentro del módulo Registro y Gestión de Personal y validarse junto con el criterio de aceptación del RF/CU.</t>
  </si>
  <si>
    <t>El RF RF-REG-003-PREMIUM debe observar seguridad dentro del módulo Registro y Gestión de Personal y validarse junto con el criterio de aceptación del RF/CU.</t>
  </si>
  <si>
    <t>El RF RF-REG-003-PREMIUM debe observar auditabilidad dentro del módulo Registro y Gestión de Personal y validarse junto con el criterio de aceptación del RF/CU.</t>
  </si>
  <si>
    <t>El RF RF-REG-003-PREMIUM debe observar privacidad y minimización dentro del módulo Registro y Gestión de Personal y validarse junto con el criterio de aceptación del RF/CU.</t>
  </si>
  <si>
    <t>El RF RF-REG-003-PREMIUM debe observar retención y archivo dentro del módulo Registro y Gestión de Personal y validarse junto con el criterio de aceptación del RF/CU.</t>
  </si>
  <si>
    <t>El RF RF-REG-003-PREMIUM debe observar segregación de datos multi-sucursal dentro del módulo Registro y Gestión de Personal y validarse junto con el criterio de aceptación del RF/CU.</t>
  </si>
  <si>
    <t>El RF RF-REG-004-PREMIUM debe observar seguridad dentro del módulo Registro y Gestión de Personal y validarse junto con el criterio de aceptación del RF/CU.</t>
  </si>
  <si>
    <t>El RF RF-REG-004-PREMIUM debe observar auditabilidad dentro del módulo Registro y Gestión de Personal y validarse junto con el criterio de aceptación del RF/CU.</t>
  </si>
  <si>
    <t>El RF RF-REG-004-PREMIUM debe observar privacidad y minimización dentro del módulo Registro y Gestión de Personal y validarse junto con el criterio de aceptación del RF/CU.</t>
  </si>
  <si>
    <t>El RF RF-REG-004-PREMIUM debe observar retención y archivo dentro del módulo Registro y Gestión de Personal y validarse junto con el criterio de aceptación del RF/CU.</t>
  </si>
  <si>
    <t>El RF RF-REG-004-PREMIUM debe observar segregación de datos multi-sucursal dentro del módulo Registro y Gestión de Personal y validarse junto con el criterio de aceptación del RF/CU.</t>
  </si>
  <si>
    <t>El RF RF-REG-005-PREMIUM debe observar seguridad dentro del módulo Registro y Gestión de Personal y validarse junto con el criterio de aceptación del RF/CU.</t>
  </si>
  <si>
    <t>El RF RF-REG-005-PREMIUM debe observar auditabilidad dentro del módulo Registro y Gestión de Personal y validarse junto con el criterio de aceptación del RF/CU.</t>
  </si>
  <si>
    <t>El RF RF-REG-005-PREMIUM debe observar privacidad y minimización dentro del módulo Registro y Gestión de Personal y validarse junto con el criterio de aceptación del RF/CU.</t>
  </si>
  <si>
    <t>El RF RF-REG-005-PREMIUM debe observar retención y archivo dentro del módulo Registro y Gestión de Personal y validarse junto con el criterio de aceptación del RF/CU.</t>
  </si>
  <si>
    <t>El RF RF-REG-005-PREMIUM debe observar segregación de datos multi-sucursal dentro del módulo Registro y Gestión de Personal y validarse junto con el criterio de aceptación del RF/CU.</t>
  </si>
  <si>
    <t>RNF-001</t>
  </si>
  <si>
    <t>Rendimiento</t>
  </si>
  <si>
    <t>Eficiencia de desempeño</t>
  </si>
  <si>
    <t>El RF RF-MESA-001 debe observar rendimiento dentro del módulo Gestión de Mesas y Salón y validarse junto con el criterio de aceptación del RF/CU.</t>
  </si>
  <si>
    <t>RNF-008</t>
  </si>
  <si>
    <t>Sincronización en Tiempo Real</t>
  </si>
  <si>
    <t>Eficiencia de desempeño / Compatibilidad</t>
  </si>
  <si>
    <t>El RF RF-MESA-001 debe observar sincronización en tiempo real dentro del módulo Gestión de Mesas y Salón y validarse junto con el criterio de aceptación del RF/CU.</t>
  </si>
  <si>
    <t>RNF-011</t>
  </si>
  <si>
    <t>Integridad e Idempotencia</t>
  </si>
  <si>
    <t>Fiabilidad</t>
  </si>
  <si>
    <t>El RF RF-MESA-001 debe observar integridad e idempotencia dentro del módulo Gestión de Mesas y Salón y validarse junto con el criterio de aceptación del RF/CU.</t>
  </si>
  <si>
    <t>El RF RF-MESA-001 debe observar observabilidad dentro del módulo Gestión de Mesas y Salón y validarse junto con el criterio de aceptación del RF/CU.</t>
  </si>
  <si>
    <t>RNF-016</t>
  </si>
  <si>
    <t>Operación Offline y Resincronización</t>
  </si>
  <si>
    <t>El RF RF-MESA-001 debe observar operación offline y resincronización dentro del módulo Gestión de Mesas y Salón y validarse junto con el criterio de aceptación del RF/CU.</t>
  </si>
  <si>
    <t>El RF RF-MESA-001 debe observar segregación de datos multi-sucursal dentro del módulo Gestión de Mesas y Salón y validarse junto con el criterio de aceptación del RF/CU.</t>
  </si>
  <si>
    <t>El RF RF-MESA-002 debe observar rendimiento dentro del módulo Gestión de Mesas y Salón y validarse junto con el criterio de aceptación del RF/CU.</t>
  </si>
  <si>
    <t>El RF RF-MESA-002 debe observar sincronización en tiempo real dentro del módulo Gestión de Mesas y Salón y validarse junto con el criterio de aceptación del RF/CU.</t>
  </si>
  <si>
    <t>El RF RF-MESA-002 debe observar integridad e idempotencia dentro del módulo Gestión de Mesas y Salón y validarse junto con el criterio de aceptación del RF/CU.</t>
  </si>
  <si>
    <t>El RF RF-MESA-002 debe observar observabilidad dentro del módulo Gestión de Mesas y Salón y validarse junto con el criterio de aceptación del RF/CU.</t>
  </si>
  <si>
    <t>El RF RF-MESA-002 debe observar operación offline y resincronización dentro del módulo Gestión de Mesas y Salón y validarse junto con el criterio de aceptación del RF/CU.</t>
  </si>
  <si>
    <t>El RF RF-MESA-002 debe observar segregación de datos multi-sucursal dentro del módulo Gestión de Mesas y Salón y validarse junto con el criterio de aceptación del RF/CU.</t>
  </si>
  <si>
    <t>El RF RF-MESA-003 debe observar rendimiento dentro del módulo Gestión de Mesas y Salón y validarse junto con el criterio de aceptación del RF/CU.</t>
  </si>
  <si>
    <t>El RF RF-MESA-003 debe observar sincronización en tiempo real dentro del módulo Gestión de Mesas y Salón y validarse junto con el criterio de aceptación del RF/CU.</t>
  </si>
  <si>
    <t>El RF RF-MESA-003 debe observar integridad e idempotencia dentro del módulo Gestión de Mesas y Salón y validarse junto con el criterio de aceptación del RF/CU.</t>
  </si>
  <si>
    <t>El RF RF-MESA-003 debe observar observabilidad dentro del módulo Gestión de Mesas y Salón y validarse junto con el criterio de aceptación del RF/CU.</t>
  </si>
  <si>
    <t>El RF RF-MESA-003 debe observar operación offline y resincronización dentro del módulo Gestión de Mesas y Salón y validarse junto con el criterio de aceptación del RF/CU.</t>
  </si>
  <si>
    <t>El RF RF-MESA-003 debe observar segregación de datos multi-sucursal dentro del módulo Gestión de Mesas y Salón y validarse junto con el criterio de aceptación del RF/CU.</t>
  </si>
  <si>
    <t>El RF RF-MESA-004 debe observar rendimiento dentro del módulo Gestión de Mesas y Salón y validarse junto con el criterio de aceptación del RF/CU.</t>
  </si>
  <si>
    <t>El RF RF-MESA-004 debe observar sincronización en tiempo real dentro del módulo Gestión de Mesas y Salón y validarse junto con el criterio de aceptación del RF/CU.</t>
  </si>
  <si>
    <t>El RF RF-MESA-004 debe observar integridad e idempotencia dentro del módulo Gestión de Mesas y Salón y validarse junto con el criterio de aceptación del RF/CU.</t>
  </si>
  <si>
    <t>El RF RF-MESA-004 debe observar observabilidad dentro del módulo Gestión de Mesas y Salón y validarse junto con el criterio de aceptación del RF/CU.</t>
  </si>
  <si>
    <t>El RF RF-MESA-004 debe observar operación offline y resincronización dentro del módulo Gestión de Mesas y Salón y validarse junto con el criterio de aceptación del RF/CU.</t>
  </si>
  <si>
    <t>El RF RF-MESA-004 debe observar segregación de datos multi-sucursal dentro del módulo Gestión de Mesas y Salón y validarse junto con el criterio de aceptación del RF/CU.</t>
  </si>
  <si>
    <t>El RF RF-MESA-005 debe observar rendimiento dentro del módulo Gestión de Mesas y Salón y validarse junto con el criterio de aceptación del RF/CU.</t>
  </si>
  <si>
    <t>El RF RF-MESA-005 debe observar sincronización en tiempo real dentro del módulo Gestión de Mesas y Salón y validarse junto con el criterio de aceptación del RF/CU.</t>
  </si>
  <si>
    <t>El RF RF-MESA-005 debe observar integridad e idempotencia dentro del módulo Gestión de Mesas y Salón y validarse junto con el criterio de aceptación del RF/CU.</t>
  </si>
  <si>
    <t>El RF RF-MESA-005 debe observar observabilidad dentro del módulo Gestión de Mesas y Salón y validarse junto con el criterio de aceptación del RF/CU.</t>
  </si>
  <si>
    <t>El RF RF-MESA-005 debe observar operación offline y resincronización dentro del módulo Gestión de Mesas y Salón y validarse junto con el criterio de aceptación del RF/CU.</t>
  </si>
  <si>
    <t>El RF RF-MESA-005 debe observar segregación de datos multi-sucursal dentro del módulo Gestión de Mesas y Salón y validarse junto con el criterio de aceptación del RF/CU.</t>
  </si>
  <si>
    <t>El RF RF-MESA-006 debe observar rendimiento dentro del módulo Gestión de Mesas y Salón y validarse junto con el criterio de aceptación del RF/CU.</t>
  </si>
  <si>
    <t>El RF RF-MESA-006 debe observar sincronización en tiempo real dentro del módulo Gestión de Mesas y Salón y validarse junto con el criterio de aceptación del RF/CU.</t>
  </si>
  <si>
    <t>El RF RF-MESA-006 debe observar integridad e idempotencia dentro del módulo Gestión de Mesas y Salón y validarse junto con el criterio de aceptación del RF/CU.</t>
  </si>
  <si>
    <t>El RF RF-MESA-006 debe observar observabilidad dentro del módulo Gestión de Mesas y Salón y validarse junto con el criterio de aceptación del RF/CU.</t>
  </si>
  <si>
    <t>El RF RF-MESA-006 debe observar operación offline y resincronización dentro del módulo Gestión de Mesas y Salón y validarse junto con el criterio de aceptación del RF/CU.</t>
  </si>
  <si>
    <t>El RF RF-MESA-006 debe observar segregación de datos multi-sucursal dentro del módulo Gestión de Mesas y Salón y validarse junto con el criterio de aceptación del RF/CU.</t>
  </si>
  <si>
    <t>El RF RF-MESA-007 debe observar rendimiento dentro del módulo Gestión de Mesas y Salón y validarse junto con el criterio de aceptación del RF/CU.</t>
  </si>
  <si>
    <t>El RF RF-MESA-007 debe observar sincronización en tiempo real dentro del módulo Gestión de Mesas y Salón y validarse junto con el criterio de aceptación del RF/CU.</t>
  </si>
  <si>
    <t>El RF RF-MESA-007 debe observar integridad e idempotencia dentro del módulo Gestión de Mesas y Salón y validarse junto con el criterio de aceptación del RF/CU.</t>
  </si>
  <si>
    <t>El RF RF-MESA-007 debe observar observabilidad dentro del módulo Gestión de Mesas y Salón y validarse junto con el criterio de aceptación del RF/CU.</t>
  </si>
  <si>
    <t>El RF RF-MESA-007 debe observar operación offline y resincronización dentro del módulo Gestión de Mesas y Salón y validarse junto con el criterio de aceptación del RF/CU.</t>
  </si>
  <si>
    <t>El RF RF-MESA-007 debe observar segregación de datos multi-sucursal dentro del módulo Gestión de Mesas y Salón y validarse junto con el criterio de aceptación del RF/CU.</t>
  </si>
  <si>
    <t>El RF RF-MESA-008 debe observar rendimiento dentro del módulo Gestión de Mesas y Salón y validarse junto con el criterio de aceptación del RF/CU.</t>
  </si>
  <si>
    <t>El RF RF-MESA-008 debe observar sincronización en tiempo real dentro del módulo Gestión de Mesas y Salón y validarse junto con el criterio de aceptación del RF/CU.</t>
  </si>
  <si>
    <t>El RF RF-MESA-008 debe observar integridad e idempotencia dentro del módulo Gestión de Mesas y Salón y validarse junto con el criterio de aceptación del RF/CU.</t>
  </si>
  <si>
    <t>El RF RF-MESA-008 debe observar observabilidad dentro del módulo Gestión de Mesas y Salón y validarse junto con el criterio de aceptación del RF/CU.</t>
  </si>
  <si>
    <t>El RF RF-MESA-008 debe observar operación offline y resincronización dentro del módulo Gestión de Mesas y Salón y validarse junto con el criterio de aceptación del RF/CU.</t>
  </si>
  <si>
    <t>El RF RF-MESA-008 debe observar segregación de datos multi-sucursal dentro del módulo Gestión de Mesas y Salón y validarse junto con el criterio de aceptación del RF/CU.</t>
  </si>
  <si>
    <t>El RF RF-MESA-009 debe observar rendimiento dentro del módulo Gestión de Mesas y Salón y validarse junto con el criterio de aceptación del RF/CU.</t>
  </si>
  <si>
    <t>El RF RF-MESA-009 debe observar sincronización en tiempo real dentro del módulo Gestión de Mesas y Salón y validarse junto con el criterio de aceptación del RF/CU.</t>
  </si>
  <si>
    <t>El RF RF-MESA-009 debe observar integridad e idempotencia dentro del módulo Gestión de Mesas y Salón y validarse junto con el criterio de aceptación del RF/CU.</t>
  </si>
  <si>
    <t>El RF RF-MESA-009 debe observar observabilidad dentro del módulo Gestión de Mesas y Salón y validarse junto con el criterio de aceptación del RF/CU.</t>
  </si>
  <si>
    <t>El RF RF-MESA-009 debe observar operación offline y resincronización dentro del módulo Gestión de Mesas y Salón y validarse junto con el criterio de aceptación del RF/CU.</t>
  </si>
  <si>
    <t>El RF RF-MESA-009 debe observar segregación de datos multi-sucursal dentro del módulo Gestión de Mesas y Salón y validarse junto con el criterio de aceptación del RF/CU.</t>
  </si>
  <si>
    <t>El RF RF-ORD-001 debe observar rendimiento dentro del módulo Gestión de Órdenes y validarse junto con el criterio de aceptación del RF/CU.</t>
  </si>
  <si>
    <t>El RF RF-ORD-001 debe observar sincronización en tiempo real dentro del módulo Gestión de Órdenes y validarse junto con el criterio de aceptación del RF/CU.</t>
  </si>
  <si>
    <t>El RF RF-ORD-001 debe observar integridad e idempotencia dentro del módulo Gestión de Órdenes y validarse junto con el criterio de aceptación del RF/CU.</t>
  </si>
  <si>
    <t>El RF RF-ORD-001 debe observar observabilidad dentro del módulo Gestión de Órdenes y validarse junto con el criterio de aceptación del RF/CU.</t>
  </si>
  <si>
    <t>El RF RF-ORD-001 debe observar operación offline y resincronización dentro del módulo Gestión de Órdenes y validarse junto con el criterio de aceptación del RF/CU.</t>
  </si>
  <si>
    <t>El RF RF-ORD-001 debe observar segregación de datos multi-sucursal dentro del módulo Gestión de Órdenes y validarse junto con el criterio de aceptación del RF/CU.</t>
  </si>
  <si>
    <t>El RF RF-ORD-002 debe observar rendimiento dentro del módulo Gestión de Órdenes y validarse junto con el criterio de aceptación del RF/CU.</t>
  </si>
  <si>
    <t>El RF RF-ORD-002 debe observar sincronización en tiempo real dentro del módulo Gestión de Órdenes y validarse junto con el criterio de aceptación del RF/CU.</t>
  </si>
  <si>
    <t>El RF RF-ORD-002 debe observar integridad e idempotencia dentro del módulo Gestión de Órdenes y validarse junto con el criterio de aceptación del RF/CU.</t>
  </si>
  <si>
    <t>El RF RF-ORD-002 debe observar observabilidad dentro del módulo Gestión de Órdenes y validarse junto con el criterio de aceptación del RF/CU.</t>
  </si>
  <si>
    <t>El RF RF-ORD-002 debe observar operación offline y resincronización dentro del módulo Gestión de Órdenes y validarse junto con el criterio de aceptación del RF/CU.</t>
  </si>
  <si>
    <t>El RF RF-ORD-002 debe observar segregación de datos multi-sucursal dentro del módulo Gestión de Órdenes y validarse junto con el criterio de aceptación del RF/CU.</t>
  </si>
  <si>
    <t>El RF RF-ORD-003 debe observar rendimiento dentro del módulo Gestión de Órdenes y validarse junto con el criterio de aceptación del RF/CU.</t>
  </si>
  <si>
    <t>El RF RF-ORD-003 debe observar sincronización en tiempo real dentro del módulo Gestión de Órdenes y validarse junto con el criterio de aceptación del RF/CU.</t>
  </si>
  <si>
    <t>El RF RF-ORD-003 debe observar integridad e idempotencia dentro del módulo Gestión de Órdenes y validarse junto con el criterio de aceptación del RF/CU.</t>
  </si>
  <si>
    <t>El RF RF-ORD-003 debe observar observabilidad dentro del módulo Gestión de Órdenes y validarse junto con el criterio de aceptación del RF/CU.</t>
  </si>
  <si>
    <t>El RF RF-ORD-003 debe observar operación offline y resincronización dentro del módulo Gestión de Órdenes y validarse junto con el criterio de aceptación del RF/CU.</t>
  </si>
  <si>
    <t>El RF RF-ORD-003 debe observar segregación de datos multi-sucursal dentro del módulo Gestión de Órdenes y validarse junto con el criterio de aceptación del RF/CU.</t>
  </si>
  <si>
    <t>El RF RF-ORD-004 debe observar rendimiento dentro del módulo Gestión de Órdenes y validarse junto con el criterio de aceptación del RF/CU.</t>
  </si>
  <si>
    <t>El RF RF-ORD-004 debe observar sincronización en tiempo real dentro del módulo Gestión de Órdenes y validarse junto con el criterio de aceptación del RF/CU.</t>
  </si>
  <si>
    <t>El RF RF-ORD-004 debe observar integridad e idempotencia dentro del módulo Gestión de Órdenes y validarse junto con el criterio de aceptación del RF/CU.</t>
  </si>
  <si>
    <t>El RF RF-ORD-004 debe observar observabilidad dentro del módulo Gestión de Órdenes y validarse junto con el criterio de aceptación del RF/CU.</t>
  </si>
  <si>
    <t>El RF RF-ORD-004 debe observar operación offline y resincronización dentro del módulo Gestión de Órdenes y validarse junto con el criterio de aceptación del RF/CU.</t>
  </si>
  <si>
    <t>El RF RF-ORD-004 debe observar segregación de datos multi-sucursal dentro del módulo Gestión de Órdenes y validarse junto con el criterio de aceptación del RF/CU.</t>
  </si>
  <si>
    <t>El RF RF-ORD-005 debe observar rendimiento dentro del módulo Gestión de Órdenes y validarse junto con el criterio de aceptación del RF/CU.</t>
  </si>
  <si>
    <t>El RF RF-ORD-005 debe observar sincronización en tiempo real dentro del módulo Gestión de Órdenes y validarse junto con el criterio de aceptación del RF/CU.</t>
  </si>
  <si>
    <t>El RF RF-ORD-005 debe observar integridad e idempotencia dentro del módulo Gestión de Órdenes y validarse junto con el criterio de aceptación del RF/CU.</t>
  </si>
  <si>
    <t>El RF RF-ORD-005 debe observar observabilidad dentro del módulo Gestión de Órdenes y validarse junto con el criterio de aceptación del RF/CU.</t>
  </si>
  <si>
    <t>El RF RF-ORD-005 debe observar operación offline y resincronización dentro del módulo Gestión de Órdenes y validarse junto con el criterio de aceptación del RF/CU.</t>
  </si>
  <si>
    <t>El RF RF-ORD-005 debe observar segregación de datos multi-sucursal dentro del módulo Gestión de Órdenes y validarse junto con el criterio de aceptación del RF/CU.</t>
  </si>
  <si>
    <t>El RF RF-ORD-006 debe observar rendimiento dentro del módulo Gestión de Órdenes y validarse junto con el criterio de aceptación del RF/CU.</t>
  </si>
  <si>
    <t>El RF RF-ORD-006 debe observar sincronización en tiempo real dentro del módulo Gestión de Órdenes y validarse junto con el criterio de aceptación del RF/CU.</t>
  </si>
  <si>
    <t>El RF RF-ORD-006 debe observar integridad e idempotencia dentro del módulo Gestión de Órdenes y validarse junto con el criterio de aceptación del RF/CU.</t>
  </si>
  <si>
    <t>El RF RF-ORD-006 debe observar observabilidad dentro del módulo Gestión de Órdenes y validarse junto con el criterio de aceptación del RF/CU.</t>
  </si>
  <si>
    <t>El RF RF-ORD-006 debe observar operación offline y resincronización dentro del módulo Gestión de Órdenes y validarse junto con el criterio de aceptación del RF/CU.</t>
  </si>
  <si>
    <t>El RF RF-ORD-006 debe observar segregación de datos multi-sucursal dentro del módulo Gestión de Órdenes y validarse junto con el criterio de aceptación del RF/CU.</t>
  </si>
  <si>
    <t>El RF RF-COC-001 debe observar rendimiento dentro del módulo Pantallas de Cocina (KDS) y validarse junto con el criterio de aceptación del RF/CU.</t>
  </si>
  <si>
    <t>El RF RF-COC-001 debe observar sincronización en tiempo real dentro del módulo Pantallas de Cocina (KDS) y validarse junto con el criterio de aceptación del RF/CU.</t>
  </si>
  <si>
    <t>El RF RF-COC-001 debe observar integridad e idempotencia dentro del módulo Pantallas de Cocina (KDS) y validarse junto con el criterio de aceptación del RF/CU.</t>
  </si>
  <si>
    <t>El RF RF-COC-001 debe observar observabilidad dentro del módulo Pantallas de Cocina (KDS) y validarse junto con el criterio de aceptación del RF/CU.</t>
  </si>
  <si>
    <t>El RF RF-COC-001 debe observar operación offline y resincronización dentro del módulo Pantallas de Cocina (KDS) y validarse junto con el criterio de aceptación del RF/CU.</t>
  </si>
  <si>
    <t>El RF RF-COC-001 debe observar segregación de datos multi-sucursal dentro del módulo Pantallas de Cocina (KDS) y validarse junto con el criterio de aceptación del RF/CU.</t>
  </si>
  <si>
    <t>El RF RF-COC-002 debe observar rendimiento dentro del módulo Pantallas de Cocina (KDS) y validarse junto con el criterio de aceptación del RF/CU.</t>
  </si>
  <si>
    <t>El RF RF-COC-002 debe observar sincronización en tiempo real dentro del módulo Pantallas de Cocina (KDS) y validarse junto con el criterio de aceptación del RF/CU.</t>
  </si>
  <si>
    <t>El RF RF-COC-002 debe observar integridad e idempotencia dentro del módulo Pantallas de Cocina (KDS) y validarse junto con el criterio de aceptación del RF/CU.</t>
  </si>
  <si>
    <t>El RF RF-COC-002 debe observar observabilidad dentro del módulo Pantallas de Cocina (KDS) y validarse junto con el criterio de aceptación del RF/CU.</t>
  </si>
  <si>
    <t>El RF RF-COC-002 debe observar operación offline y resincronización dentro del módulo Pantallas de Cocina (KDS) y validarse junto con el criterio de aceptación del RF/CU.</t>
  </si>
  <si>
    <t>El RF RF-COC-002 debe observar segregación de datos multi-sucursal dentro del módulo Pantallas de Cocina (KDS) y validarse junto con el criterio de aceptación del RF/CU.</t>
  </si>
  <si>
    <t>El RF RF-COC-003 debe observar rendimiento dentro del módulo Pantallas de Cocina (KDS) y validarse junto con el criterio de aceptación del RF/CU.</t>
  </si>
  <si>
    <t>El RF RF-COC-003 debe observar sincronización en tiempo real dentro del módulo Pantallas de Cocina (KDS) y validarse junto con el criterio de aceptación del RF/CU.</t>
  </si>
  <si>
    <t>El RF RF-COC-003 debe observar integridad e idempotencia dentro del módulo Pantallas de Cocina (KDS) y validarse junto con el criterio de aceptación del RF/CU.</t>
  </si>
  <si>
    <t>El RF RF-COC-003 debe observar observabilidad dentro del módulo Pantallas de Cocina (KDS) y validarse junto con el criterio de aceptación del RF/CU.</t>
  </si>
  <si>
    <t>El RF RF-COC-003 debe observar operación offline y resincronización dentro del módulo Pantallas de Cocina (KDS) y validarse junto con el criterio de aceptación del RF/CU.</t>
  </si>
  <si>
    <t>El RF RF-COC-003 debe observar segregación de datos multi-sucursal dentro del módulo Pantallas de Cocina (KDS) y validarse junto con el criterio de aceptación del RF/CU.</t>
  </si>
  <si>
    <t>El RF RF-COC-004 debe observar rendimiento dentro del módulo Pantallas de Cocina (KDS) y validarse junto con el criterio de aceptación del RF/CU.</t>
  </si>
  <si>
    <t>El RF RF-COC-004 debe observar sincronización en tiempo real dentro del módulo Pantallas de Cocina (KDS) y validarse junto con el criterio de aceptación del RF/CU.</t>
  </si>
  <si>
    <t>El RF RF-COC-004 debe observar integridad e idempotencia dentro del módulo Pantallas de Cocina (KDS) y validarse junto con el criterio de aceptación del RF/CU.</t>
  </si>
  <si>
    <t>El RF RF-COC-004 debe observar observabilidad dentro del módulo Pantallas de Cocina (KDS) y validarse junto con el criterio de aceptación del RF/CU.</t>
  </si>
  <si>
    <t>El RF RF-COC-004 debe observar operación offline y resincronización dentro del módulo Pantallas de Cocina (KDS) y validarse junto con el criterio de aceptación del RF/CU.</t>
  </si>
  <si>
    <t>El RF RF-COC-004 debe observar segregación de datos multi-sucursal dentro del módulo Pantallas de Cocina (KDS) y validarse junto con el criterio de aceptación del RF/CU.</t>
  </si>
  <si>
    <t>El RF RF-COC-005 debe observar rendimiento dentro del módulo Pantallas de Cocina (KDS) y validarse junto con el criterio de aceptación del RF/CU.</t>
  </si>
  <si>
    <t>El RF RF-COC-005 debe observar sincronización en tiempo real dentro del módulo Pantallas de Cocina (KDS) y validarse junto con el criterio de aceptación del RF/CU.</t>
  </si>
  <si>
    <t>El RF RF-COC-005 debe observar integridad e idempotencia dentro del módulo Pantallas de Cocina (KDS) y validarse junto con el criterio de aceptación del RF/CU.</t>
  </si>
  <si>
    <t>El RF RF-COC-005 debe observar observabilidad dentro del módulo Pantallas de Cocina (KDS) y validarse junto con el criterio de aceptación del RF/CU.</t>
  </si>
  <si>
    <t>El RF RF-COC-005 debe observar operación offline y resincronización dentro del módulo Pantallas de Cocina (KDS) y validarse junto con el criterio de aceptación del RF/CU.</t>
  </si>
  <si>
    <t>El RF RF-COC-005 debe observar segregación de datos multi-sucursal dentro del módulo Pantallas de Cocina (KDS) y validarse junto con el criterio de aceptación del RF/CU.</t>
  </si>
  <si>
    <t>El RF RF-COC-006 debe observar rendimiento dentro del módulo Pantallas de Cocina (KDS) y validarse junto con el criterio de aceptación del RF/CU.</t>
  </si>
  <si>
    <t>El RF RF-COC-006 debe observar sincronización en tiempo real dentro del módulo Pantallas de Cocina (KDS) y validarse junto con el criterio de aceptación del RF/CU.</t>
  </si>
  <si>
    <t>El RF RF-COC-006 debe observar integridad e idempotencia dentro del módulo Pantallas de Cocina (KDS) y validarse junto con el criterio de aceptación del RF/CU.</t>
  </si>
  <si>
    <t>El RF RF-COC-006 debe observar observabilidad dentro del módulo Pantallas de Cocina (KDS) y validarse junto con el criterio de aceptación del RF/CU.</t>
  </si>
  <si>
    <t>El RF RF-COC-006 debe observar operación offline y resincronización dentro del módulo Pantallas de Cocina (KDS) y validarse junto con el criterio de aceptación del RF/CU.</t>
  </si>
  <si>
    <t>El RF RF-COC-006 debe observar segregación de datos multi-sucursal dentro del módulo Pantallas de Cocina (KDS) y validarse junto con el criterio de aceptación del RF/CU.</t>
  </si>
  <si>
    <t>El RF RF-COC-007 debe observar rendimiento dentro del módulo Pantallas de Cocina (KDS) y validarse junto con el criterio de aceptación del RF/CU.</t>
  </si>
  <si>
    <t>El RF RF-COC-007 debe observar sincronización en tiempo real dentro del módulo Pantallas de Cocina (KDS) y validarse junto con el criterio de aceptación del RF/CU.</t>
  </si>
  <si>
    <t>El RF RF-COC-007 debe observar integridad e idempotencia dentro del módulo Pantallas de Cocina (KDS) y validarse junto con el criterio de aceptación del RF/CU.</t>
  </si>
  <si>
    <t>El RF RF-COC-007 debe observar observabilidad dentro del módulo Pantallas de Cocina (KDS) y validarse junto con el criterio de aceptación del RF/CU.</t>
  </si>
  <si>
    <t>El RF RF-COC-007 debe observar operación offline y resincronización dentro del módulo Pantallas de Cocina (KDS) y validarse junto con el criterio de aceptación del RF/CU.</t>
  </si>
  <si>
    <t>El RF RF-COC-007 debe observar segregación de datos multi-sucursal dentro del módulo Pantallas de Cocina (KDS) y validarse junto con el criterio de aceptación del RF/CU.</t>
  </si>
  <si>
    <t>El RF RF-ROUT-001 debe observar rendimiento dentro del módulo Enrutamiento Central de Pedidos y validarse junto con el criterio de aceptación del RF/CU.</t>
  </si>
  <si>
    <t>El RF RF-ROUT-001 debe observar sincronización en tiempo real dentro del módulo Enrutamiento Central de Pedidos y validarse junto con el criterio de aceptación del RF/CU.</t>
  </si>
  <si>
    <t>El RF RF-ROUT-001 debe observar integridad e idempotencia dentro del módulo Enrutamiento Central de Pedidos y validarse junto con el criterio de aceptación del RF/CU.</t>
  </si>
  <si>
    <t>El RF RF-ROUT-001 debe observar observabilidad dentro del módulo Enrutamiento Central de Pedidos y validarse junto con el criterio de aceptación del RF/CU.</t>
  </si>
  <si>
    <t>El RF RF-ROUT-001 debe observar operación offline y resincronización dentro del módulo Enrutamiento Central de Pedidos y validarse junto con el criterio de aceptación del RF/CU.</t>
  </si>
  <si>
    <t>El RF RF-ROUT-001 debe observar segregación de datos multi-sucursal dentro del módulo Enrutamiento Central de Pedidos y validarse junto con el criterio de aceptación del RF/CU.</t>
  </si>
  <si>
    <t>El RF RF-ROUT-002 debe observar rendimiento dentro del módulo Enrutamiento Central de Pedidos y validarse junto con el criterio de aceptación del RF/CU.</t>
  </si>
  <si>
    <t>El RF RF-ROUT-002 debe observar sincronización en tiempo real dentro del módulo Enrutamiento Central de Pedidos y validarse junto con el criterio de aceptación del RF/CU.</t>
  </si>
  <si>
    <t>El RF RF-ROUT-002 debe observar integridad e idempotencia dentro del módulo Enrutamiento Central de Pedidos y validarse junto con el criterio de aceptación del RF/CU.</t>
  </si>
  <si>
    <t>El RF RF-ROUT-002 debe observar observabilidad dentro del módulo Enrutamiento Central de Pedidos y validarse junto con el criterio de aceptación del RF/CU.</t>
  </si>
  <si>
    <t>El RF RF-ROUT-002 debe observar operación offline y resincronización dentro del módulo Enrutamiento Central de Pedidos y validarse junto con el criterio de aceptación del RF/CU.</t>
  </si>
  <si>
    <t>El RF RF-ROUT-002 debe observar segregación de datos multi-sucursal dentro del módulo Enrutamiento Central de Pedidos y validarse junto con el criterio de aceptación del RF/CU.</t>
  </si>
  <si>
    <t>El RF RF-ROUT-003 debe observar rendimiento dentro del módulo Enrutamiento Central de Pedidos y validarse junto con el criterio de aceptación del RF/CU.</t>
  </si>
  <si>
    <t>El RF RF-ROUT-003 debe observar sincronización en tiempo real dentro del módulo Enrutamiento Central de Pedidos y validarse junto con el criterio de aceptación del RF/CU.</t>
  </si>
  <si>
    <t>El RF RF-ROUT-003 debe observar integridad e idempotencia dentro del módulo Enrutamiento Central de Pedidos y validarse junto con el criterio de aceptación del RF/CU.</t>
  </si>
  <si>
    <t>El RF RF-ROUT-003 debe observar observabilidad dentro del módulo Enrutamiento Central de Pedidos y validarse junto con el criterio de aceptación del RF/CU.</t>
  </si>
  <si>
    <t>El RF RF-ROUT-003 debe observar operación offline y resincronización dentro del módulo Enrutamiento Central de Pedidos y validarse junto con el criterio de aceptación del RF/CU.</t>
  </si>
  <si>
    <t>El RF RF-ROUT-003 debe observar segregación de datos multi-sucursal dentro del módulo Enrutamiento Central de Pedidos y validarse junto con el criterio de aceptación del RF/CU.</t>
  </si>
  <si>
    <t>El RF RF-ROUT-004 debe observar rendimiento dentro del módulo Enrutamiento Central de Pedidos y validarse junto con el criterio de aceptación del RF/CU.</t>
  </si>
  <si>
    <t>El RF RF-ROUT-004 debe observar sincronización en tiempo real dentro del módulo Enrutamiento Central de Pedidos y validarse junto con el criterio de aceptación del RF/CU.</t>
  </si>
  <si>
    <t>El RF RF-ROUT-004 debe observar integridad e idempotencia dentro del módulo Enrutamiento Central de Pedidos y validarse junto con el criterio de aceptación del RF/CU.</t>
  </si>
  <si>
    <t>El RF RF-ROUT-004 debe observar observabilidad dentro del módulo Enrutamiento Central de Pedidos y validarse junto con el criterio de aceptación del RF/CU.</t>
  </si>
  <si>
    <t>El RF RF-ROUT-004 debe observar operación offline y resincronización dentro del módulo Enrutamiento Central de Pedidos y validarse junto con el criterio de aceptación del RF/CU.</t>
  </si>
  <si>
    <t>El RF RF-ROUT-004 debe observar segregación de datos multi-sucursal dentro del módulo Enrutamiento Central de Pedidos y validarse junto con el criterio de aceptación del RF/CU.</t>
  </si>
  <si>
    <t>El RF RF-PAG-001 debe observar seguridad dentro del módulo Gestión de Pagos (POS y Backoffice) y validarse junto con el criterio de aceptación del RF/CU.</t>
  </si>
  <si>
    <t>RNF-009</t>
  </si>
  <si>
    <t>Cumplimiento Normativo</t>
  </si>
  <si>
    <t>Adecuación funcional / Seguridad</t>
  </si>
  <si>
    <t>El RF RF-PAG-001 debe observar cumplimiento normativo dentro del módulo Gestión de Pagos (POS y Backoffice) y validarse junto con el criterio de aceptación del RF/CU.</t>
  </si>
  <si>
    <t>El RF RF-PAG-001 debe observar auditabilidad dentro del módulo Gestión de Pagos (POS y Backoffice) y validarse junto con el criterio de aceptación del RF/CU.</t>
  </si>
  <si>
    <t>El RF RF-PAG-001 debe observar integridad e idempotencia dentro del módulo Gestión de Pagos (POS y Backoffice) y validarse junto con el criterio de aceptación del RF/CU.</t>
  </si>
  <si>
    <t>El RF RF-PAG-001 debe observar observabilidad dentro del módulo Gestión de Pagos (POS y Backoffice) y validarse junto con el criterio de aceptación del RF/CU.</t>
  </si>
  <si>
    <t>RNF-017</t>
  </si>
  <si>
    <t>Localización y Precisión Monetaria</t>
  </si>
  <si>
    <t>Adecuación funcional</t>
  </si>
  <si>
    <t>El RF RF-PAG-001 debe observar localización y precisión monetaria dentro del módulo Gestión de Pagos (POS y Backoffice) y validarse junto con el criterio de aceptación del RF/CU.</t>
  </si>
  <si>
    <t>RNF-018</t>
  </si>
  <si>
    <t>API e Integraciones</t>
  </si>
  <si>
    <t>Compatibilidad</t>
  </si>
  <si>
    <t>El RF RF-PAG-001 debe observar api e integraciones dentro del módulo Gestión de Pagos (POS y Backoffice) y validarse junto con el criterio de aceptación del RF/CU.</t>
  </si>
  <si>
    <t>El RF RF-PAG-001 debe observar segregación de datos multi-sucursal dentro del módulo Gestión de Pagos (POS y Backoffice) y validarse junto con el criterio de aceptación del RF/CU.</t>
  </si>
  <si>
    <t>El RF RF-PAG-002 debe observar seguridad dentro del módulo Gestión de Pagos (POS y Backoffice) y validarse junto con el criterio de aceptación del RF/CU.</t>
  </si>
  <si>
    <t>El RF RF-PAG-002 debe observar cumplimiento normativo dentro del módulo Gestión de Pagos (POS y Backoffice) y validarse junto con el criterio de aceptación del RF/CU.</t>
  </si>
  <si>
    <t>El RF RF-PAG-002 debe observar auditabilidad dentro del módulo Gestión de Pagos (POS y Backoffice) y validarse junto con el criterio de aceptación del RF/CU.</t>
  </si>
  <si>
    <t>El RF RF-PAG-002 debe observar integridad e idempotencia dentro del módulo Gestión de Pagos (POS y Backoffice) y validarse junto con el criterio de aceptación del RF/CU.</t>
  </si>
  <si>
    <t>El RF RF-PAG-002 debe observar observabilidad dentro del módulo Gestión de Pagos (POS y Backoffice) y validarse junto con el criterio de aceptación del RF/CU.</t>
  </si>
  <si>
    <t>El RF RF-PAG-002 debe observar localización y precisión monetaria dentro del módulo Gestión de Pagos (POS y Backoffice) y validarse junto con el criterio de aceptación del RF/CU.</t>
  </si>
  <si>
    <t>El RF RF-PAG-002 debe observar api e integraciones dentro del módulo Gestión de Pagos (POS y Backoffice) y validarse junto con el criterio de aceptación del RF/CU.</t>
  </si>
  <si>
    <t>El RF RF-PAG-002 debe observar segregación de datos multi-sucursal dentro del módulo Gestión de Pagos (POS y Backoffice) y validarse junto con el criterio de aceptación del RF/CU.</t>
  </si>
  <si>
    <t>El RF RF-PAG-003 debe observar seguridad dentro del módulo Gestión de Pagos (POS y Backoffice) y validarse junto con el criterio de aceptación del RF/CU.</t>
  </si>
  <si>
    <t>El RF RF-PAG-003 debe observar cumplimiento normativo dentro del módulo Gestión de Pagos (POS y Backoffice) y validarse junto con el criterio de aceptación del RF/CU.</t>
  </si>
  <si>
    <t>El RF RF-PAG-003 debe observar auditabilidad dentro del módulo Gestión de Pagos (POS y Backoffice) y validarse junto con el criterio de aceptación del RF/CU.</t>
  </si>
  <si>
    <t>El RF RF-PAG-003 debe observar integridad e idempotencia dentro del módulo Gestión de Pagos (POS y Backoffice) y validarse junto con el criterio de aceptación del RF/CU.</t>
  </si>
  <si>
    <t>El RF RF-PAG-003 debe observar observabilidad dentro del módulo Gestión de Pagos (POS y Backoffice) y validarse junto con el criterio de aceptación del RF/CU.</t>
  </si>
  <si>
    <t>El RF RF-PAG-003 debe observar localización y precisión monetaria dentro del módulo Gestión de Pagos (POS y Backoffice) y validarse junto con el criterio de aceptación del RF/CU.</t>
  </si>
  <si>
    <t>El RF RF-PAG-003 debe observar api e integraciones dentro del módulo Gestión de Pagos (POS y Backoffice) y validarse junto con el criterio de aceptación del RF/CU.</t>
  </si>
  <si>
    <t>El RF RF-PAG-003 debe observar segregación de datos multi-sucursal dentro del módulo Gestión de Pagos (POS y Backoffice) y validarse junto con el criterio de aceptación del RF/CU.</t>
  </si>
  <si>
    <t>El RF RF-PAG-004 debe observar seguridad dentro del módulo Gestión de Pagos (POS y Backoffice) y validarse junto con el criterio de aceptación del RF/CU.</t>
  </si>
  <si>
    <t>El RF RF-PAG-004 debe observar cumplimiento normativo dentro del módulo Gestión de Pagos (POS y Backoffice) y validarse junto con el criterio de aceptación del RF/CU.</t>
  </si>
  <si>
    <t>El RF RF-PAG-004 debe observar auditabilidad dentro del módulo Gestión de Pagos (POS y Backoffice) y validarse junto con el criterio de aceptación del RF/CU.</t>
  </si>
  <si>
    <t>El RF RF-PAG-004 debe observar integridad e idempotencia dentro del módulo Gestión de Pagos (POS y Backoffice) y validarse junto con el criterio de aceptación del RF/CU.</t>
  </si>
  <si>
    <t>El RF RF-PAG-004 debe observar observabilidad dentro del módulo Gestión de Pagos (POS y Backoffice) y validarse junto con el criterio de aceptación del RF/CU.</t>
  </si>
  <si>
    <t>El RF RF-PAG-004 debe observar localización y precisión monetaria dentro del módulo Gestión de Pagos (POS y Backoffice) y validarse junto con el criterio de aceptación del RF/CU.</t>
  </si>
  <si>
    <t>El RF RF-PAG-004 debe observar api e integraciones dentro del módulo Gestión de Pagos (POS y Backoffice) y validarse junto con el criterio de aceptación del RF/CU.</t>
  </si>
  <si>
    <t>El RF RF-PAG-004 debe observar segregación de datos multi-sucursal dentro del módulo Gestión de Pagos (POS y Backoffice) y validarse junto con el criterio de aceptación del RF/CU.</t>
  </si>
  <si>
    <t>El RF RF-PAG-005 debe observar seguridad dentro del módulo Gestión de Pagos (POS y Backoffice) y validarse junto con el criterio de aceptación del RF/CU.</t>
  </si>
  <si>
    <t>El RF RF-PAG-005 debe observar cumplimiento normativo dentro del módulo Gestión de Pagos (POS y Backoffice) y validarse junto con el criterio de aceptación del RF/CU.</t>
  </si>
  <si>
    <t>El RF RF-PAG-005 debe observar auditabilidad dentro del módulo Gestión de Pagos (POS y Backoffice) y validarse junto con el criterio de aceptación del RF/CU.</t>
  </si>
  <si>
    <t>El RF RF-PAG-005 debe observar integridad e idempotencia dentro del módulo Gestión de Pagos (POS y Backoffice) y validarse junto con el criterio de aceptación del RF/CU.</t>
  </si>
  <si>
    <t>El RF RF-PAG-005 debe observar observabilidad dentro del módulo Gestión de Pagos (POS y Backoffice) y validarse junto con el criterio de aceptación del RF/CU.</t>
  </si>
  <si>
    <t>El RF RF-PAG-005 debe observar localización y precisión monetaria dentro del módulo Gestión de Pagos (POS y Backoffice) y validarse junto con el criterio de aceptación del RF/CU.</t>
  </si>
  <si>
    <t>El RF RF-PAG-005 debe observar api e integraciones dentro del módulo Gestión de Pagos (POS y Backoffice) y validarse junto con el criterio de aceptación del RF/CU.</t>
  </si>
  <si>
    <t>El RF RF-PAG-005 debe observar segregación de datos multi-sucursal dentro del módulo Gestión de Pagos (POS y Backoffice) y validarse junto con el criterio de aceptación del RF/CU.</t>
  </si>
  <si>
    <t>El RF RF-PAG-006 debe observar seguridad dentro del módulo Gestión de Pagos (POS y Backoffice) y validarse junto con el criterio de aceptación del RF/CU.</t>
  </si>
  <si>
    <t>El RF RF-PAG-006 debe observar cumplimiento normativo dentro del módulo Gestión de Pagos (POS y Backoffice) y validarse junto con el criterio de aceptación del RF/CU.</t>
  </si>
  <si>
    <t>El RF RF-PAG-006 debe observar auditabilidad dentro del módulo Gestión de Pagos (POS y Backoffice) y validarse junto con el criterio de aceptación del RF/CU.</t>
  </si>
  <si>
    <t>El RF RF-PAG-006 debe observar integridad e idempotencia dentro del módulo Gestión de Pagos (POS y Backoffice) y validarse junto con el criterio de aceptación del RF/CU.</t>
  </si>
  <si>
    <t>El RF RF-PAG-006 debe observar observabilidad dentro del módulo Gestión de Pagos (POS y Backoffice) y validarse junto con el criterio de aceptación del RF/CU.</t>
  </si>
  <si>
    <t>El RF RF-PAG-006 debe observar localización y precisión monetaria dentro del módulo Gestión de Pagos (POS y Backoffice) y validarse junto con el criterio de aceptación del RF/CU.</t>
  </si>
  <si>
    <t>El RF RF-PAG-006 debe observar api e integraciones dentro del módulo Gestión de Pagos (POS y Backoffice) y validarse junto con el criterio de aceptación del RF/CU.</t>
  </si>
  <si>
    <t>El RF RF-PAG-006 debe observar segregación de datos multi-sucursal dentro del módulo Gestión de Pagos (POS y Backoffice) y validarse junto con el criterio de aceptación del RF/CU.</t>
  </si>
  <si>
    <t>El RF RF-PAG-007 debe observar seguridad dentro del módulo Gestión de Pagos (POS y Backoffice) y validarse junto con el criterio de aceptación del RF/CU.</t>
  </si>
  <si>
    <t>El RF RF-PAG-007 debe observar cumplimiento normativo dentro del módulo Gestión de Pagos (POS y Backoffice) y validarse junto con el criterio de aceptación del RF/CU.</t>
  </si>
  <si>
    <t>El RF RF-PAG-007 debe observar auditabilidad dentro del módulo Gestión de Pagos (POS y Backoffice) y validarse junto con el criterio de aceptación del RF/CU.</t>
  </si>
  <si>
    <t>El RF RF-PAG-007 debe observar integridad e idempotencia dentro del módulo Gestión de Pagos (POS y Backoffice) y validarse junto con el criterio de aceptación del RF/CU.</t>
  </si>
  <si>
    <t>El RF RF-PAG-007 debe observar observabilidad dentro del módulo Gestión de Pagos (POS y Backoffice) y validarse junto con el criterio de aceptación del RF/CU.</t>
  </si>
  <si>
    <t>El RF RF-PAG-007 debe observar localización y precisión monetaria dentro del módulo Gestión de Pagos (POS y Backoffice) y validarse junto con el criterio de aceptación del RF/CU.</t>
  </si>
  <si>
    <t>El RF RF-PAG-007 debe observar api e integraciones dentro del módulo Gestión de Pagos (POS y Backoffice) y validarse junto con el criterio de aceptación del RF/CU.</t>
  </si>
  <si>
    <t>El RF RF-PAG-007 debe observar segregación de datos multi-sucursal dentro del módulo Gestión de Pagos (POS y Backoffice) y validarse junto con el criterio de aceptación del RF/CU.</t>
  </si>
  <si>
    <t>El RF RF-PAG-008 debe observar seguridad dentro del módulo Gestión de Pagos (POS y Backoffice) y validarse junto con el criterio de aceptación del RF/CU.</t>
  </si>
  <si>
    <t>El RF RF-PAG-008 debe observar cumplimiento normativo dentro del módulo Gestión de Pagos (POS y Backoffice) y validarse junto con el criterio de aceptación del RF/CU.</t>
  </si>
  <si>
    <t>El RF RF-PAG-008 debe observar auditabilidad dentro del módulo Gestión de Pagos (POS y Backoffice) y validarse junto con el criterio de aceptación del RF/CU.</t>
  </si>
  <si>
    <t>El RF RF-PAG-008 debe observar integridad e idempotencia dentro del módulo Gestión de Pagos (POS y Backoffice) y validarse junto con el criterio de aceptación del RF/CU.</t>
  </si>
  <si>
    <t>El RF RF-PAG-008 debe observar observabilidad dentro del módulo Gestión de Pagos (POS y Backoffice) y validarse junto con el criterio de aceptación del RF/CU.</t>
  </si>
  <si>
    <t>El RF RF-PAG-008 debe observar localización y precisión monetaria dentro del módulo Gestión de Pagos (POS y Backoffice) y validarse junto con el criterio de aceptación del RF/CU.</t>
  </si>
  <si>
    <t>El RF RF-PAG-008 debe observar api e integraciones dentro del módulo Gestión de Pagos (POS y Backoffice) y validarse junto con el criterio de aceptación del RF/CU.</t>
  </si>
  <si>
    <t>El RF RF-PAG-008 debe observar segregación de datos multi-sucursal dentro del módulo Gestión de Pagos (POS y Backoffice) y validarse junto con el criterio de aceptación del RF/CU.</t>
  </si>
  <si>
    <t>El RF RF-INV-001 debe observar auditabilidad dentro del módulo Inventarios y Recetas y validarse junto con el criterio de aceptación del RF/CU.</t>
  </si>
  <si>
    <t>El RF RF-INV-001 debe observar integridad e idempotencia dentro del módulo Inventarios y Recetas y validarse junto con el criterio de aceptación del RF/CU.</t>
  </si>
  <si>
    <t>El RF RF-INV-001 debe observar observabilidad dentro del módulo Inventarios y Recetas y validarse junto con el criterio de aceptación del RF/CU.</t>
  </si>
  <si>
    <t>El RF RF-INV-001 debe observar localización y precisión monetaria dentro del módulo Inventarios y Recetas y validarse junto con el criterio de aceptación del RF/CU.</t>
  </si>
  <si>
    <t>El RF RF-INV-001 debe observar retención y archivo dentro del módulo Inventarios y Recetas y validarse junto con el criterio de aceptación del RF/CU.</t>
  </si>
  <si>
    <t>El RF RF-INV-001 debe observar segregación de datos multi-sucursal dentro del módulo Inventarios y Recetas y validarse junto con el criterio de aceptación del RF/CU.</t>
  </si>
  <si>
    <t>El RF RF-INV-002 debe observar auditabilidad dentro del módulo Inventarios y Recetas y validarse junto con el criterio de aceptación del RF/CU.</t>
  </si>
  <si>
    <t>El RF RF-INV-002 debe observar integridad e idempotencia dentro del módulo Inventarios y Recetas y validarse junto con el criterio de aceptación del RF/CU.</t>
  </si>
  <si>
    <t>El RF RF-INV-002 debe observar observabilidad dentro del módulo Inventarios y Recetas y validarse junto con el criterio de aceptación del RF/CU.</t>
  </si>
  <si>
    <t>El RF RF-INV-002 debe observar localización y precisión monetaria dentro del módulo Inventarios y Recetas y validarse junto con el criterio de aceptación del RF/CU.</t>
  </si>
  <si>
    <t>El RF RF-INV-002 debe observar retención y archivo dentro del módulo Inventarios y Recetas y validarse junto con el criterio de aceptación del RF/CU.</t>
  </si>
  <si>
    <t>El RF RF-INV-002 debe observar segregación de datos multi-sucursal dentro del módulo Inventarios y Recetas y validarse junto con el criterio de aceptación del RF/CU.</t>
  </si>
  <si>
    <t>El RF RF-INV-003 debe observar auditabilidad dentro del módulo Inventarios y Recetas y validarse junto con el criterio de aceptación del RF/CU.</t>
  </si>
  <si>
    <t>El RF RF-INV-003 debe observar integridad e idempotencia dentro del módulo Inventarios y Recetas y validarse junto con el criterio de aceptación del RF/CU.</t>
  </si>
  <si>
    <t>El RF RF-INV-003 debe observar observabilidad dentro del módulo Inventarios y Recetas y validarse junto con el criterio de aceptación del RF/CU.</t>
  </si>
  <si>
    <t>El RF RF-INV-003 debe observar localización y precisión monetaria dentro del módulo Inventarios y Recetas y validarse junto con el criterio de aceptación del RF/CU.</t>
  </si>
  <si>
    <t>El RF RF-INV-003 debe observar retención y archivo dentro del módulo Inventarios y Recetas y validarse junto con el criterio de aceptación del RF/CU.</t>
  </si>
  <si>
    <t>El RF RF-INV-003 debe observar segregación de datos multi-sucursal dentro del módulo Inventarios y Recetas y validarse junto con el criterio de aceptación del RF/CU.</t>
  </si>
  <si>
    <t>El RF RF-INV-004 debe observar auditabilidad dentro del módulo Inventarios y Recetas y validarse junto con el criterio de aceptación del RF/CU.</t>
  </si>
  <si>
    <t>El RF RF-INV-004 debe observar integridad e idempotencia dentro del módulo Inventarios y Recetas y validarse junto con el criterio de aceptación del RF/CU.</t>
  </si>
  <si>
    <t>El RF RF-INV-004 debe observar observabilidad dentro del módulo Inventarios y Recetas y validarse junto con el criterio de aceptación del RF/CU.</t>
  </si>
  <si>
    <t>El RF RF-INV-004 debe observar localización y precisión monetaria dentro del módulo Inventarios y Recetas y validarse junto con el criterio de aceptación del RF/CU.</t>
  </si>
  <si>
    <t>El RF RF-INV-004 debe observar retención y archivo dentro del módulo Inventarios y Recetas y validarse junto con el criterio de aceptación del RF/CU.</t>
  </si>
  <si>
    <t>El RF RF-INV-004 debe observar segregación de datos multi-sucursal dentro del módulo Inventarios y Recetas y validarse junto con el criterio de aceptación del RF/CU.</t>
  </si>
  <si>
    <t>El RF RF-INV-005 debe observar auditabilidad dentro del módulo Inventarios y Recetas y validarse junto con el criterio de aceptación del RF/CU.</t>
  </si>
  <si>
    <t>El RF RF-INV-005 debe observar integridad e idempotencia dentro del módulo Inventarios y Recetas y validarse junto con el criterio de aceptación del RF/CU.</t>
  </si>
  <si>
    <t>El RF RF-INV-005 debe observar observabilidad dentro del módulo Inventarios y Recetas y validarse junto con el criterio de aceptación del RF/CU.</t>
  </si>
  <si>
    <t>El RF RF-INV-005 debe observar localización y precisión monetaria dentro del módulo Inventarios y Recetas y validarse junto con el criterio de aceptación del RF/CU.</t>
  </si>
  <si>
    <t>El RF RF-INV-005 debe observar retención y archivo dentro del módulo Inventarios y Recetas y validarse junto con el criterio de aceptación del RF/CU.</t>
  </si>
  <si>
    <t>El RF RF-INV-005 debe observar segregación de datos multi-sucursal dentro del módulo Inventarios y Recetas y validarse junto con el criterio de aceptación del RF/CU.</t>
  </si>
  <si>
    <t>El RF RF-INV-006 debe observar auditabilidad dentro del módulo Inventarios y Recetas y validarse junto con el criterio de aceptación del RF/CU.</t>
  </si>
  <si>
    <t>El RF RF-INV-006 debe observar integridad e idempotencia dentro del módulo Inventarios y Recetas y validarse junto con el criterio de aceptación del RF/CU.</t>
  </si>
  <si>
    <t>El RF RF-INV-006 debe observar observabilidad dentro del módulo Inventarios y Recetas y validarse junto con el criterio de aceptación del RF/CU.</t>
  </si>
  <si>
    <t>El RF RF-INV-006 debe observar localización y precisión monetaria dentro del módulo Inventarios y Recetas y validarse junto con el criterio de aceptación del RF/CU.</t>
  </si>
  <si>
    <t>El RF RF-INV-006 debe observar retención y archivo dentro del módulo Inventarios y Recetas y validarse junto con el criterio de aceptación del RF/CU.</t>
  </si>
  <si>
    <t>El RF RF-INV-006 debe observar segregación de datos multi-sucursal dentro del módulo Inventarios y Recetas y validarse junto con el criterio de aceptación del RF/CU.</t>
  </si>
  <si>
    <t>El RF RF-INV-007 debe observar auditabilidad dentro del módulo Inventarios y Recetas y validarse junto con el criterio de aceptación del RF/CU.</t>
  </si>
  <si>
    <t>El RF RF-INV-007 debe observar integridad e idempotencia dentro del módulo Inventarios y Recetas y validarse junto con el criterio de aceptación del RF/CU.</t>
  </si>
  <si>
    <t>El RF RF-INV-007 debe observar observabilidad dentro del módulo Inventarios y Recetas y validarse junto con el criterio de aceptación del RF/CU.</t>
  </si>
  <si>
    <t>El RF RF-INV-007 debe observar localización y precisión monetaria dentro del módulo Inventarios y Recetas y validarse junto con el criterio de aceptación del RF/CU.</t>
  </si>
  <si>
    <t>El RF RF-INV-007 debe observar retención y archivo dentro del módulo Inventarios y Recetas y validarse junto con el criterio de aceptación del RF/CU.</t>
  </si>
  <si>
    <t>El RF RF-INV-007 debe observar segregación de datos multi-sucursal dentro del módulo Inventarios y Recetas y validarse junto con el criterio de aceptación del RF/CU.</t>
  </si>
  <si>
    <t>El RF RF-RES-001 debe observar seguridad dentro del módulo Reservaciones y Lista de Espera y validarse junto con el criterio de aceptación del RF/CU.</t>
  </si>
  <si>
    <t>RNF-007</t>
  </si>
  <si>
    <t>Interoperabilidad</t>
  </si>
  <si>
    <t>El RF RF-RES-001 debe observar interoperabilidad dentro del módulo Reservaciones y Lista de Espera y validarse junto con el criterio de aceptación del RF/CU.</t>
  </si>
  <si>
    <t>El RF RF-RES-001 debe observar privacidad y minimización dentro del módulo Reservaciones y Lista de Espera y validarse junto con el criterio de aceptación del RF/CU.</t>
  </si>
  <si>
    <t>El RF RF-RES-001 debe observar api e integraciones dentro del módulo Reservaciones y Lista de Espera y validarse junto con el criterio de aceptación del RF/CU.</t>
  </si>
  <si>
    <t>El RF RF-RES-001 debe observar retención y archivo dentro del módulo Reservaciones y Lista de Espera y validarse junto con el criterio de aceptación del RF/CU.</t>
  </si>
  <si>
    <t>El RF RF-RES-001 debe observar segregación de datos multi-sucursal dentro del módulo Reservaciones y Lista de Espera y validarse junto con el criterio de aceptación del RF/CU.</t>
  </si>
  <si>
    <t>El RF RF-RES-002 debe observar seguridad dentro del módulo Reservaciones y Lista de Espera y validarse junto con el criterio de aceptación del RF/CU.</t>
  </si>
  <si>
    <t>El RF RF-RES-002 debe observar interoperabilidad dentro del módulo Reservaciones y Lista de Espera y validarse junto con el criterio de aceptación del RF/CU.</t>
  </si>
  <si>
    <t>El RF RF-RES-002 debe observar privacidad y minimización dentro del módulo Reservaciones y Lista de Espera y validarse junto con el criterio de aceptación del RF/CU.</t>
  </si>
  <si>
    <t>El RF RF-RES-002 debe observar api e integraciones dentro del módulo Reservaciones y Lista de Espera y validarse junto con el criterio de aceptación del RF/CU.</t>
  </si>
  <si>
    <t>El RF RF-RES-002 debe observar retención y archivo dentro del módulo Reservaciones y Lista de Espera y validarse junto con el criterio de aceptación del RF/CU.</t>
  </si>
  <si>
    <t>El RF RF-RES-002 debe observar segregación de datos multi-sucursal dentro del módulo Reservaciones y Lista de Espera y validarse junto con el criterio de aceptación del RF/CU.</t>
  </si>
  <si>
    <t>El RF RF-RES-003 debe observar seguridad dentro del módulo Reservaciones y Lista de Espera y validarse junto con el criterio de aceptación del RF/CU.</t>
  </si>
  <si>
    <t>El RF RF-RES-003 debe observar interoperabilidad dentro del módulo Reservaciones y Lista de Espera y validarse junto con el criterio de aceptación del RF/CU.</t>
  </si>
  <si>
    <t>El RF RF-RES-003 debe observar privacidad y minimización dentro del módulo Reservaciones y Lista de Espera y validarse junto con el criterio de aceptación del RF/CU.</t>
  </si>
  <si>
    <t>El RF RF-RES-003 debe observar api e integraciones dentro del módulo Reservaciones y Lista de Espera y validarse junto con el criterio de aceptación del RF/CU.</t>
  </si>
  <si>
    <t>El RF RF-RES-003 debe observar retención y archivo dentro del módulo Reservaciones y Lista de Espera y validarse junto con el criterio de aceptación del RF/CU.</t>
  </si>
  <si>
    <t>El RF RF-RES-003 debe observar segregación de datos multi-sucursal dentro del módulo Reservaciones y Lista de Espera y validarse junto con el criterio de aceptación del RF/CU.</t>
  </si>
  <si>
    <t>El RF RF-RES-004 debe observar seguridad dentro del módulo Reservaciones y Lista de Espera y validarse junto con el criterio de aceptación del RF/CU.</t>
  </si>
  <si>
    <t>El RF RF-RES-004 debe observar interoperabilidad dentro del módulo Reservaciones y Lista de Espera y validarse junto con el criterio de aceptación del RF/CU.</t>
  </si>
  <si>
    <t>El RF RF-RES-004 debe observar privacidad y minimización dentro del módulo Reservaciones y Lista de Espera y validarse junto con el criterio de aceptación del RF/CU.</t>
  </si>
  <si>
    <t>El RF RF-RES-004 debe observar api e integraciones dentro del módulo Reservaciones y Lista de Espera y validarse junto con el criterio de aceptación del RF/CU.</t>
  </si>
  <si>
    <t>El RF RF-RES-004 debe observar retención y archivo dentro del módulo Reservaciones y Lista de Espera y validarse junto con el criterio de aceptación del RF/CU.</t>
  </si>
  <si>
    <t>El RF RF-RES-004 debe observar segregación de datos multi-sucursal dentro del módulo Reservaciones y Lista de Espera y validarse junto con el criterio de aceptación del RF/CU.</t>
  </si>
  <si>
    <t>El RF RF-RES-005 debe observar seguridad dentro del módulo Reservaciones y Lista de Espera y validarse junto con el criterio de aceptación del RF/CU.</t>
  </si>
  <si>
    <t>El RF RF-RES-005 debe observar interoperabilidad dentro del módulo Reservaciones y Lista de Espera y validarse junto con el criterio de aceptación del RF/CU.</t>
  </si>
  <si>
    <t>El RF RF-RES-005 debe observar privacidad y minimización dentro del módulo Reservaciones y Lista de Espera y validarse junto con el criterio de aceptación del RF/CU.</t>
  </si>
  <si>
    <t>El RF RF-RES-005 debe observar api e integraciones dentro del módulo Reservaciones y Lista de Espera y validarse junto con el criterio de aceptación del RF/CU.</t>
  </si>
  <si>
    <t>El RF RF-RES-005 debe observar retención y archivo dentro del módulo Reservaciones y Lista de Espera y validarse junto con el criterio de aceptación del RF/CU.</t>
  </si>
  <si>
    <t>El RF RF-RES-005 debe observar segregación de datos multi-sucursal dentro del módulo Reservaciones y Lista de Espera y validarse junto con el criterio de aceptación del RF/CU.</t>
  </si>
  <si>
    <t>El RF RF-RES-006 debe observar seguridad dentro del módulo Reservaciones y Lista de Espera y validarse junto con el criterio de aceptación del RF/CU.</t>
  </si>
  <si>
    <t>El RF RF-RES-006 debe observar interoperabilidad dentro del módulo Reservaciones y Lista de Espera y validarse junto con el criterio de aceptación del RF/CU.</t>
  </si>
  <si>
    <t>El RF RF-RES-006 debe observar privacidad y minimización dentro del módulo Reservaciones y Lista de Espera y validarse junto con el criterio de aceptación del RF/CU.</t>
  </si>
  <si>
    <t>El RF RF-RES-006 debe observar api e integraciones dentro del módulo Reservaciones y Lista de Espera y validarse junto con el criterio de aceptación del RF/CU.</t>
  </si>
  <si>
    <t>El RF RF-RES-006 debe observar retención y archivo dentro del módulo Reservaciones y Lista de Espera y validarse junto con el criterio de aceptación del RF/CU.</t>
  </si>
  <si>
    <t>El RF RF-RES-006 debe observar segregación de datos multi-sucursal dentro del módulo Reservaciones y Lista de Espera y validarse junto con el criterio de aceptación del RF/CU.</t>
  </si>
  <si>
    <t>El RF RF-RES-007 debe observar seguridad dentro del módulo Reservaciones y Lista de Espera y validarse junto con el criterio de aceptación del RF/CU.</t>
  </si>
  <si>
    <t>El RF RF-RES-007 debe observar interoperabilidad dentro del módulo Reservaciones y Lista de Espera y validarse junto con el criterio de aceptación del RF/CU.</t>
  </si>
  <si>
    <t>El RF RF-RES-007 debe observar privacidad y minimización dentro del módulo Reservaciones y Lista de Espera y validarse junto con el criterio de aceptación del RF/CU.</t>
  </si>
  <si>
    <t>El RF RF-RES-007 debe observar api e integraciones dentro del módulo Reservaciones y Lista de Espera y validarse junto con el criterio de aceptación del RF/CU.</t>
  </si>
  <si>
    <t>El RF RF-RES-007 debe observar retención y archivo dentro del módulo Reservaciones y Lista de Espera y validarse junto con el criterio de aceptación del RF/CU.</t>
  </si>
  <si>
    <t>El RF RF-RES-007 debe observar segregación de datos multi-sucursal dentro del módulo Reservaciones y Lista de Espera y validarse junto con el criterio de aceptación del RF/CU.</t>
  </si>
  <si>
    <t>El RF RF-DEL-001 debe observar seguridad dentro del módulo Delivery, Pedidos Online y Repartidores y validarse junto con el criterio de aceptación del RF/CU.</t>
  </si>
  <si>
    <t>El RF RF-DEL-001 debe observar interoperabilidad dentro del módulo Delivery, Pedidos Online y Repartidores y validarse junto con el criterio de aceptación del RF/CU.</t>
  </si>
  <si>
    <t>El RF RF-DEL-001 debe observar privacidad y minimización dentro del módulo Delivery, Pedidos Online y Repartidores y validarse junto con el criterio de aceptación del RF/CU.</t>
  </si>
  <si>
    <t>El RF RF-DEL-001 debe observar api e integraciones dentro del módulo Delivery, Pedidos Online y Repartidores y validarse junto con el criterio de aceptación del RF/CU.</t>
  </si>
  <si>
    <t>El RF RF-DEL-001 debe observar retención y archivo dentro del módulo Delivery, Pedidos Online y Repartidores y validarse junto con el criterio de aceptación del RF/CU.</t>
  </si>
  <si>
    <t>El RF RF-DEL-001 debe observar segregación de datos multi-sucursal dentro del módulo Delivery, Pedidos Online y Repartidores y validarse junto con el criterio de aceptación del RF/CU.</t>
  </si>
  <si>
    <t>El RF RF-DEL-002 debe observar seguridad dentro del módulo Delivery, Pedidos Online y Repartidores y validarse junto con el criterio de aceptación del RF/CU.</t>
  </si>
  <si>
    <t>El RF RF-DEL-002 debe observar interoperabilidad dentro del módulo Delivery, Pedidos Online y Repartidores y validarse junto con el criterio de aceptación del RF/CU.</t>
  </si>
  <si>
    <t>El RF RF-DEL-002 debe observar privacidad y minimización dentro del módulo Delivery, Pedidos Online y Repartidores y validarse junto con el criterio de aceptación del RF/CU.</t>
  </si>
  <si>
    <t>El RF RF-DEL-002 debe observar api e integraciones dentro del módulo Delivery, Pedidos Online y Repartidores y validarse junto con el criterio de aceptación del RF/CU.</t>
  </si>
  <si>
    <t>El RF RF-DEL-002 debe observar retención y archivo dentro del módulo Delivery, Pedidos Online y Repartidores y validarse junto con el criterio de aceptación del RF/CU.</t>
  </si>
  <si>
    <t>El RF RF-DEL-002 debe observar segregación de datos multi-sucursal dentro del módulo Delivery, Pedidos Online y Repartidores y validarse junto con el criterio de aceptación del RF/CU.</t>
  </si>
  <si>
    <t>El RF RF-DEL-003 debe observar seguridad dentro del módulo Delivery, Pedidos Online y Repartidores y validarse junto con el criterio de aceptación del RF/CU.</t>
  </si>
  <si>
    <t>El RF RF-DEL-003 debe observar interoperabilidad dentro del módulo Delivery, Pedidos Online y Repartidores y validarse junto con el criterio de aceptación del RF/CU.</t>
  </si>
  <si>
    <t>El RF RF-DEL-003 debe observar privacidad y minimización dentro del módulo Delivery, Pedidos Online y Repartidores y validarse junto con el criterio de aceptación del RF/CU.</t>
  </si>
  <si>
    <t>El RF RF-DEL-003 debe observar api e integraciones dentro del módulo Delivery, Pedidos Online y Repartidores y validarse junto con el criterio de aceptación del RF/CU.</t>
  </si>
  <si>
    <t>El RF RF-DEL-003 debe observar retención y archivo dentro del módulo Delivery, Pedidos Online y Repartidores y validarse junto con el criterio de aceptación del RF/CU.</t>
  </si>
  <si>
    <t>El RF RF-DEL-003 debe observar segregación de datos multi-sucursal dentro del módulo Delivery, Pedidos Online y Repartidores y validarse junto con el criterio de aceptación del RF/CU.</t>
  </si>
  <si>
    <t>El RF RF-DEL-004 debe observar seguridad dentro del módulo Delivery, Pedidos Online y Repartidores y validarse junto con el criterio de aceptación del RF/CU.</t>
  </si>
  <si>
    <t>El RF RF-DEL-004 debe observar interoperabilidad dentro del módulo Delivery, Pedidos Online y Repartidores y validarse junto con el criterio de aceptación del RF/CU.</t>
  </si>
  <si>
    <t>El RF RF-DEL-004 debe observar privacidad y minimización dentro del módulo Delivery, Pedidos Online y Repartidores y validarse junto con el criterio de aceptación del RF/CU.</t>
  </si>
  <si>
    <t>El RF RF-DEL-004 debe observar api e integraciones dentro del módulo Delivery, Pedidos Online y Repartidores y validarse junto con el criterio de aceptación del RF/CU.</t>
  </si>
  <si>
    <t>El RF RF-DEL-004 debe observar retención y archivo dentro del módulo Delivery, Pedidos Online y Repartidores y validarse junto con el criterio de aceptación del RF/CU.</t>
  </si>
  <si>
    <t>El RF RF-DEL-004 debe observar segregación de datos multi-sucursal dentro del módulo Delivery, Pedidos Online y Repartidores y validarse junto con el criterio de aceptación del RF/CU.</t>
  </si>
  <si>
    <t>El RF RF-DEL-005 debe observar seguridad dentro del módulo Delivery, Pedidos Online y Repartidores y validarse junto con el criterio de aceptación del RF/CU.</t>
  </si>
  <si>
    <t>El RF RF-DEL-005 debe observar interoperabilidad dentro del módulo Delivery, Pedidos Online y Repartidores y validarse junto con el criterio de aceptación del RF/CU.</t>
  </si>
  <si>
    <t>El RF RF-DEL-005 debe observar privacidad y minimización dentro del módulo Delivery, Pedidos Online y Repartidores y validarse junto con el criterio de aceptación del RF/CU.</t>
  </si>
  <si>
    <t>El RF RF-DEL-005 debe observar api e integraciones dentro del módulo Delivery, Pedidos Online y Repartidores y validarse junto con el criterio de aceptación del RF/CU.</t>
  </si>
  <si>
    <t>El RF RF-DEL-005 debe observar retención y archivo dentro del módulo Delivery, Pedidos Online y Repartidores y validarse junto con el criterio de aceptación del RF/CU.</t>
  </si>
  <si>
    <t>El RF RF-DEL-005 debe observar segregación de datos multi-sucursal dentro del módulo Delivery, Pedidos Online y Repartidores y validarse junto con el criterio de aceptación del RF/CU.</t>
  </si>
  <si>
    <t>El RF RF-DEL-006 debe observar seguridad dentro del módulo Delivery, Pedidos Online y Repartidores y validarse junto con el criterio de aceptación del RF/CU.</t>
  </si>
  <si>
    <t>El RF RF-DEL-006 debe observar interoperabilidad dentro del módulo Delivery, Pedidos Online y Repartidores y validarse junto con el criterio de aceptación del RF/CU.</t>
  </si>
  <si>
    <t>El RF RF-DEL-006 debe observar privacidad y minimización dentro del módulo Delivery, Pedidos Online y Repartidores y validarse junto con el criterio de aceptación del RF/CU.</t>
  </si>
  <si>
    <t>El RF RF-DEL-006 debe observar api e integraciones dentro del módulo Delivery, Pedidos Online y Repartidores y validarse junto con el criterio de aceptación del RF/CU.</t>
  </si>
  <si>
    <t>El RF RF-DEL-006 debe observar retención y archivo dentro del módulo Delivery, Pedidos Online y Repartidores y validarse junto con el criterio de aceptación del RF/CU.</t>
  </si>
  <si>
    <t>El RF RF-DEL-006 debe observar segregación de datos multi-sucursal dentro del módulo Delivery, Pedidos Online y Repartidores y validarse junto con el criterio de aceptación del RF/CU.</t>
  </si>
  <si>
    <t>El RF RF-DEL-007 debe observar seguridad dentro del módulo Delivery, Pedidos Online y Repartidores y validarse junto con el criterio de aceptación del RF/CU.</t>
  </si>
  <si>
    <t>El RF RF-DEL-007 debe observar interoperabilidad dentro del módulo Delivery, Pedidos Online y Repartidores y validarse junto con el criterio de aceptación del RF/CU.</t>
  </si>
  <si>
    <t>El RF RF-DEL-007 debe observar privacidad y minimización dentro del módulo Delivery, Pedidos Online y Repartidores y validarse junto con el criterio de aceptación del RF/CU.</t>
  </si>
  <si>
    <t>El RF RF-DEL-007 debe observar api e integraciones dentro del módulo Delivery, Pedidos Online y Repartidores y validarse junto con el criterio de aceptación del RF/CU.</t>
  </si>
  <si>
    <t>El RF RF-DEL-007 debe observar retención y archivo dentro del módulo Delivery, Pedidos Online y Repartidores y validarse junto con el criterio de aceptación del RF/CU.</t>
  </si>
  <si>
    <t>El RF RF-DEL-007 debe observar segregación de datos multi-sucursal dentro del módulo Delivery, Pedidos Online y Repartidores y validarse junto con el criterio de aceptación del RF/CU.</t>
  </si>
  <si>
    <t>El RF RF-DEL-008 debe observar seguridad dentro del módulo Delivery, Pedidos Online y Repartidores y validarse junto con el criterio de aceptación del RF/CU.</t>
  </si>
  <si>
    <t>El RF RF-DEL-008 debe observar interoperabilidad dentro del módulo Delivery, Pedidos Online y Repartidores y validarse junto con el criterio de aceptación del RF/CU.</t>
  </si>
  <si>
    <t>El RF RF-DEL-008 debe observar privacidad y minimización dentro del módulo Delivery, Pedidos Online y Repartidores y validarse junto con el criterio de aceptación del RF/CU.</t>
  </si>
  <si>
    <t>El RF RF-DEL-008 debe observar api e integraciones dentro del módulo Delivery, Pedidos Online y Repartidores y validarse junto con el criterio de aceptación del RF/CU.</t>
  </si>
  <si>
    <t>El RF RF-DEL-008 debe observar retención y archivo dentro del módulo Delivery, Pedidos Online y Repartidores y validarse junto con el criterio de aceptación del RF/CU.</t>
  </si>
  <si>
    <t>El RF RF-DEL-008 debe observar segregación de datos multi-sucursal dentro del módulo Delivery, Pedidos Online y Repartidores y validarse junto con el criterio de aceptación del RF/CU.</t>
  </si>
  <si>
    <t>El RF RF-RRHH-001 debe observar seguridad dentro del módulo Turnos, Horarios y Propinas y validarse junto con el criterio de aceptación del RF/CU.</t>
  </si>
  <si>
    <t>El RF RF-RRHH-001 debe observar auditabilidad dentro del módulo Turnos, Horarios y Propinas y validarse junto con el criterio de aceptación del RF/CU.</t>
  </si>
  <si>
    <t>El RF RF-RRHH-001 debe observar privacidad y minimización dentro del módulo Turnos, Horarios y Propinas y validarse junto con el criterio de aceptación del RF/CU.</t>
  </si>
  <si>
    <t>El RF RF-RRHH-001 debe observar retención y archivo dentro del módulo Turnos, Horarios y Propinas y validarse junto con el criterio de aceptación del RF/CU.</t>
  </si>
  <si>
    <t>El RF RF-RRHH-001 debe observar segregación de datos multi-sucursal dentro del módulo Turnos, Horarios y Propinas y validarse junto con el criterio de aceptación del RF/CU.</t>
  </si>
  <si>
    <t>El RF RF-RRHH-002 debe observar seguridad dentro del módulo Turnos, Horarios y Propinas y validarse junto con el criterio de aceptación del RF/CU.</t>
  </si>
  <si>
    <t>El RF RF-RRHH-002 debe observar auditabilidad dentro del módulo Turnos, Horarios y Propinas y validarse junto con el criterio de aceptación del RF/CU.</t>
  </si>
  <si>
    <t>El RF RF-RRHH-002 debe observar privacidad y minimización dentro del módulo Turnos, Horarios y Propinas y validarse junto con el criterio de aceptación del RF/CU.</t>
  </si>
  <si>
    <t>El RF RF-RRHH-002 debe observar retención y archivo dentro del módulo Turnos, Horarios y Propinas y validarse junto con el criterio de aceptación del RF/CU.</t>
  </si>
  <si>
    <t>El RF RF-RRHH-002 debe observar segregación de datos multi-sucursal dentro del módulo Turnos, Horarios y Propinas y validarse junto con el criterio de aceptación del RF/CU.</t>
  </si>
  <si>
    <t>El RF RF-RRHH-003 debe observar seguridad dentro del módulo Turnos, Horarios y Propinas y validarse junto con el criterio de aceptación del RF/CU.</t>
  </si>
  <si>
    <t>El RF RF-RRHH-003 debe observar auditabilidad dentro del módulo Turnos, Horarios y Propinas y validarse junto con el criterio de aceptación del RF/CU.</t>
  </si>
  <si>
    <t>El RF RF-RRHH-003 debe observar privacidad y minimización dentro del módulo Turnos, Horarios y Propinas y validarse junto con el criterio de aceptación del RF/CU.</t>
  </si>
  <si>
    <t>El RF RF-RRHH-003 debe observar retención y archivo dentro del módulo Turnos, Horarios y Propinas y validarse junto con el criterio de aceptación del RF/CU.</t>
  </si>
  <si>
    <t>El RF RF-RRHH-003 debe observar segregación de datos multi-sucursal dentro del módulo Turnos, Horarios y Propinas y validarse junto con el criterio de aceptación del RF/CU.</t>
  </si>
  <si>
    <t>El RF RF-RRHH-004 debe observar seguridad dentro del módulo Turnos, Horarios y Propinas y validarse junto con el criterio de aceptación del RF/CU.</t>
  </si>
  <si>
    <t>El RF RF-RRHH-004 debe observar auditabilidad dentro del módulo Turnos, Horarios y Propinas y validarse junto con el criterio de aceptación del RF/CU.</t>
  </si>
  <si>
    <t>El RF RF-RRHH-004 debe observar privacidad y minimización dentro del módulo Turnos, Horarios y Propinas y validarse junto con el criterio de aceptación del RF/CU.</t>
  </si>
  <si>
    <t>El RF RF-RRHH-004 debe observar retención y archivo dentro del módulo Turnos, Horarios y Propinas y validarse junto con el criterio de aceptación del RF/CU.</t>
  </si>
  <si>
    <t>El RF RF-RRHH-004 debe observar segregación de datos multi-sucursal dentro del módulo Turnos, Horarios y Propinas y validarse junto con el criterio de aceptación del RF/CU.</t>
  </si>
  <si>
    <t>El RF RF-RRHH-005 debe observar seguridad dentro del módulo Turnos, Horarios y Propinas y validarse junto con el criterio de aceptación del RF/CU.</t>
  </si>
  <si>
    <t>El RF RF-RRHH-005 debe observar auditabilidad dentro del módulo Turnos, Horarios y Propinas y validarse junto con el criterio de aceptación del RF/CU.</t>
  </si>
  <si>
    <t>El RF RF-RRHH-005 debe observar privacidad y minimización dentro del módulo Turnos, Horarios y Propinas y validarse junto con el criterio de aceptación del RF/CU.</t>
  </si>
  <si>
    <t>El RF RF-RRHH-005 debe observar retención y archivo dentro del módulo Turnos, Horarios y Propinas y validarse junto con el criterio de aceptación del RF/CU.</t>
  </si>
  <si>
    <t>El RF RF-RRHH-005 debe observar segregación de datos multi-sucursal dentro del módulo Turnos, Horarios y Propinas y validarse junto con el criterio de aceptación del RF/CU.</t>
  </si>
  <si>
    <t>El RF RF-RRHH-006 debe observar seguridad dentro del módulo Turnos, Horarios y Propinas y validarse junto con el criterio de aceptación del RF/CU.</t>
  </si>
  <si>
    <t>El RF RF-RRHH-006 debe observar auditabilidad dentro del módulo Turnos, Horarios y Propinas y validarse junto con el criterio de aceptación del RF/CU.</t>
  </si>
  <si>
    <t>El RF RF-RRHH-006 debe observar privacidad y minimización dentro del módulo Turnos, Horarios y Propinas y validarse junto con el criterio de aceptación del RF/CU.</t>
  </si>
  <si>
    <t>El RF RF-RRHH-006 debe observar retención y archivo dentro del módulo Turnos, Horarios y Propinas y validarse junto con el criterio de aceptación del RF/CU.</t>
  </si>
  <si>
    <t>El RF RF-RRHH-006 debe observar segregación de datos multi-sucursal dentro del módulo Turnos, Horarios y Propinas y validarse junto con el criterio de aceptación del RF/CU.</t>
  </si>
  <si>
    <t>El RF RF-RRHH-007 debe observar seguridad dentro del módulo Turnos, Horarios y Propinas y validarse junto con el criterio de aceptación del RF/CU.</t>
  </si>
  <si>
    <t>El RF RF-RRHH-007 debe observar auditabilidad dentro del módulo Turnos, Horarios y Propinas y validarse junto con el criterio de aceptación del RF/CU.</t>
  </si>
  <si>
    <t>El RF RF-RRHH-007 debe observar privacidad y minimización dentro del módulo Turnos, Horarios y Propinas y validarse junto con el criterio de aceptación del RF/CU.</t>
  </si>
  <si>
    <t>El RF RF-RRHH-007 debe observar retención y archivo dentro del módulo Turnos, Horarios y Propinas y validarse junto con el criterio de aceptación del RF/CU.</t>
  </si>
  <si>
    <t>El RF RF-RRHH-007 debe observar segregación de datos multi-sucursal dentro del módulo Turnos, Horarios y Propinas y validarse junto con el criterio de aceptación del RF/CU.</t>
  </si>
  <si>
    <t>El RF RF-RRHH-008 debe observar seguridad dentro del módulo Turnos, Horarios y Propinas y validarse junto con el criterio de aceptación del RF/CU.</t>
  </si>
  <si>
    <t>El RF RF-RRHH-008 debe observar auditabilidad dentro del módulo Turnos, Horarios y Propinas y validarse junto con el criterio de aceptación del RF/CU.</t>
  </si>
  <si>
    <t>El RF RF-RRHH-008 debe observar privacidad y minimización dentro del módulo Turnos, Horarios y Propinas y validarse junto con el criterio de aceptación del RF/CU.</t>
  </si>
  <si>
    <t>El RF RF-RRHH-008 debe observar retención y archivo dentro del módulo Turnos, Horarios y Propinas y validarse junto con el criterio de aceptación del RF/CU.</t>
  </si>
  <si>
    <t>El RF RF-RRHH-008 debe observar segregación de datos multi-sucursal dentro del módulo Turnos, Horarios y Propinas y validarse junto con el criterio de aceptación del RF/CU.</t>
  </si>
  <si>
    <t>El RF RF-BI-001 debe observar rendimiento dentro del módulo Reportes, Business Intelligence y Analítica y validarse junto con el criterio de aceptación del RF/CU.</t>
  </si>
  <si>
    <t>RNF-005</t>
  </si>
  <si>
    <t>Escalabilidad</t>
  </si>
  <si>
    <t>Flexibilidad / Eficiencia de desempeño</t>
  </si>
  <si>
    <t>El RF RF-BI-001 debe observar escalabilidad dentro del módulo Reportes, Business Intelligence y Analítica y validarse junto con el criterio de aceptación del RF/CU.</t>
  </si>
  <si>
    <t>El RF RF-BI-001 debe observar auditabilidad dentro del módulo Reportes, Business Intelligence y Analítica y validarse junto con el criterio de aceptación del RF/CU.</t>
  </si>
  <si>
    <t>El RF RF-BI-001 debe observar observabilidad dentro del módulo Reportes, Business Intelligence y Analítica y validarse junto con el criterio de aceptación del RF/CU.</t>
  </si>
  <si>
    <t>El RF RF-BI-001 debe observar localización y precisión monetaria dentro del módulo Reportes, Business Intelligence y Analítica y validarse junto con el criterio de aceptación del RF/CU.</t>
  </si>
  <si>
    <t>El RF RF-BI-001 debe observar segregación de datos multi-sucursal dentro del módulo Reportes, Business Intelligence y Analítica y validarse junto con el criterio de aceptación del RF/CU.</t>
  </si>
  <si>
    <t>El RF RF-BI-002 debe observar rendimiento dentro del módulo Reportes, Business Intelligence y Analítica y validarse junto con el criterio de aceptación del RF/CU.</t>
  </si>
  <si>
    <t>El RF RF-BI-002 debe observar escalabilidad dentro del módulo Reportes, Business Intelligence y Analítica y validarse junto con el criterio de aceptación del RF/CU.</t>
  </si>
  <si>
    <t>El RF RF-BI-002 debe observar auditabilidad dentro del módulo Reportes, Business Intelligence y Analítica y validarse junto con el criterio de aceptación del RF/CU.</t>
  </si>
  <si>
    <t>El RF RF-BI-002 debe observar observabilidad dentro del módulo Reportes, Business Intelligence y Analítica y validarse junto con el criterio de aceptación del RF/CU.</t>
  </si>
  <si>
    <t>El RF RF-BI-002 debe observar localización y precisión monetaria dentro del módulo Reportes, Business Intelligence y Analítica y validarse junto con el criterio de aceptación del RF/CU.</t>
  </si>
  <si>
    <t>El RF RF-BI-002 debe observar segregación de datos multi-sucursal dentro del módulo Reportes, Business Intelligence y Analítica y validarse junto con el criterio de aceptación del RF/CU.</t>
  </si>
  <si>
    <t>El RF RF-BI-003 debe observar rendimiento dentro del módulo Reportes, Business Intelligence y Analítica y validarse junto con el criterio de aceptación del RF/CU.</t>
  </si>
  <si>
    <t>El RF RF-BI-003 debe observar escalabilidad dentro del módulo Reportes, Business Intelligence y Analítica y validarse junto con el criterio de aceptación del RF/CU.</t>
  </si>
  <si>
    <t>El RF RF-BI-003 debe observar auditabilidad dentro del módulo Reportes, Business Intelligence y Analítica y validarse junto con el criterio de aceptación del RF/CU.</t>
  </si>
  <si>
    <t>El RF RF-BI-003 debe observar observabilidad dentro del módulo Reportes, Business Intelligence y Analítica y validarse junto con el criterio de aceptación del RF/CU.</t>
  </si>
  <si>
    <t>El RF RF-BI-003 debe observar localización y precisión monetaria dentro del módulo Reportes, Business Intelligence y Analítica y validarse junto con el criterio de aceptación del RF/CU.</t>
  </si>
  <si>
    <t>El RF RF-BI-003 debe observar segregación de datos multi-sucursal dentro del módulo Reportes, Business Intelligence y Analítica y validarse junto con el criterio de aceptación del RF/CU.</t>
  </si>
  <si>
    <t>El RF RF-BI-004 debe observar rendimiento dentro del módulo Reportes, Business Intelligence y Analítica y validarse junto con el criterio de aceptación del RF/CU.</t>
  </si>
  <si>
    <t>El RF RF-BI-004 debe observar escalabilidad dentro del módulo Reportes, Business Intelligence y Analítica y validarse junto con el criterio de aceptación del RF/CU.</t>
  </si>
  <si>
    <t>El RF RF-BI-004 debe observar auditabilidad dentro del módulo Reportes, Business Intelligence y Analítica y validarse junto con el criterio de aceptación del RF/CU.</t>
  </si>
  <si>
    <t>El RF RF-BI-004 debe observar observabilidad dentro del módulo Reportes, Business Intelligence y Analítica y validarse junto con el criterio de aceptación del RF/CU.</t>
  </si>
  <si>
    <t>El RF RF-BI-004 debe observar localización y precisión monetaria dentro del módulo Reportes, Business Intelligence y Analítica y validarse junto con el criterio de aceptación del RF/CU.</t>
  </si>
  <si>
    <t>El RF RF-BI-004 debe observar segregación de datos multi-sucursal dentro del módulo Reportes, Business Intelligence y Analítica y validarse junto con el criterio de aceptación del RF/CU.</t>
  </si>
  <si>
    <t>El RF RF-BI-005 debe observar rendimiento dentro del módulo Reportes, Business Intelligence y Analítica y validarse junto con el criterio de aceptación del RF/CU.</t>
  </si>
  <si>
    <t>El RF RF-BI-005 debe observar escalabilidad dentro del módulo Reportes, Business Intelligence y Analítica y validarse junto con el criterio de aceptación del RF/CU.</t>
  </si>
  <si>
    <t>El RF RF-BI-005 debe observar auditabilidad dentro del módulo Reportes, Business Intelligence y Analítica y validarse junto con el criterio de aceptación del RF/CU.</t>
  </si>
  <si>
    <t>El RF RF-BI-005 debe observar observabilidad dentro del módulo Reportes, Business Intelligence y Analítica y validarse junto con el criterio de aceptación del RF/CU.</t>
  </si>
  <si>
    <t>El RF RF-BI-005 debe observar localización y precisión monetaria dentro del módulo Reportes, Business Intelligence y Analítica y validarse junto con el criterio de aceptación del RF/CU.</t>
  </si>
  <si>
    <t>El RF RF-BI-005 debe observar segregación de datos multi-sucursal dentro del módulo Reportes, Business Intelligence y Analítica y validarse junto con el criterio de aceptación del RF/CU.</t>
  </si>
  <si>
    <t>El RF RF-BI-006 debe observar rendimiento dentro del módulo Reportes, Business Intelligence y Analítica y validarse junto con el criterio de aceptación del RF/CU.</t>
  </si>
  <si>
    <t>El RF RF-BI-006 debe observar escalabilidad dentro del módulo Reportes, Business Intelligence y Analítica y validarse junto con el criterio de aceptación del RF/CU.</t>
  </si>
  <si>
    <t>El RF RF-BI-006 debe observar auditabilidad dentro del módulo Reportes, Business Intelligence y Analítica y validarse junto con el criterio de aceptación del RF/CU.</t>
  </si>
  <si>
    <t>El RF RF-BI-006 debe observar observabilidad dentro del módulo Reportes, Business Intelligence y Analítica y validarse junto con el criterio de aceptación del RF/CU.</t>
  </si>
  <si>
    <t>El RF RF-BI-006 debe observar localización y precisión monetaria dentro del módulo Reportes, Business Intelligence y Analítica y validarse junto con el criterio de aceptación del RF/CU.</t>
  </si>
  <si>
    <t>El RF RF-BI-006 debe observar segregación de datos multi-sucursal dentro del módulo Reportes, Business Intelligence y Analítica y validarse junto con el criterio de aceptación del RF/CU.</t>
  </si>
  <si>
    <t>El RF RF-BI-007 debe observar rendimiento dentro del módulo Reportes, Business Intelligence y Analítica y validarse junto con el criterio de aceptación del RF/CU.</t>
  </si>
  <si>
    <t>El RF RF-BI-007 debe observar escalabilidad dentro del módulo Reportes, Business Intelligence y Analítica y validarse junto con el criterio de aceptación del RF/CU.</t>
  </si>
  <si>
    <t>El RF RF-BI-007 debe observar auditabilidad dentro del módulo Reportes, Business Intelligence y Analítica y validarse junto con el criterio de aceptación del RF/CU.</t>
  </si>
  <si>
    <t>El RF RF-BI-007 debe observar observabilidad dentro del módulo Reportes, Business Intelligence y Analítica y validarse junto con el criterio de aceptación del RF/CU.</t>
  </si>
  <si>
    <t>El RF RF-BI-007 debe observar localización y precisión monetaria dentro del módulo Reportes, Business Intelligence y Analítica y validarse junto con el criterio de aceptación del RF/CU.</t>
  </si>
  <si>
    <t>El RF RF-BI-007 debe observar segregación de datos multi-sucursal dentro del módulo Reportes, Business Intelligence y Analítica y validarse junto con el criterio de aceptación del RF/CU.</t>
  </si>
  <si>
    <t>El RF RF-BI-008 debe observar rendimiento dentro del módulo Reportes, Business Intelligence y Analítica y validarse junto con el criterio de aceptación del RF/CU.</t>
  </si>
  <si>
    <t>El RF RF-BI-008 debe observar escalabilidad dentro del módulo Reportes, Business Intelligence y Analítica y validarse junto con el criterio de aceptación del RF/CU.</t>
  </si>
  <si>
    <t>El RF RF-BI-008 debe observar auditabilidad dentro del módulo Reportes, Business Intelligence y Analítica y validarse junto con el criterio de aceptación del RF/CU.</t>
  </si>
  <si>
    <t>El RF RF-BI-008 debe observar observabilidad dentro del módulo Reportes, Business Intelligence y Analítica y validarse junto con el criterio de aceptación del RF/CU.</t>
  </si>
  <si>
    <t>El RF RF-BI-008 debe observar localización y precisión monetaria dentro del módulo Reportes, Business Intelligence y Analítica y validarse junto con el criterio de aceptación del RF/CU.</t>
  </si>
  <si>
    <t>El RF RF-BI-008 debe observar segregación de datos multi-sucursal dentro del módulo Reportes, Business Intelligence y Analítica y validarse junto con el criterio de aceptación del RF/CU.</t>
  </si>
  <si>
    <t>El RF RF-QR-001 debe observar seguridad dentro del módulo Menú Digital QR y Auto-Pedido y validarse junto con el criterio de aceptación del RF/CU.</t>
  </si>
  <si>
    <t>El RF RF-QR-001 debe observar interoperabilidad dentro del módulo Menú Digital QR y Auto-Pedido y validarse junto con el criterio de aceptación del RF/CU.</t>
  </si>
  <si>
    <t>El RF RF-QR-001 debe observar privacidad y minimización dentro del módulo Menú Digital QR y Auto-Pedido y validarse junto con el criterio de aceptación del RF/CU.</t>
  </si>
  <si>
    <t>El RF RF-QR-001 debe observar api e integraciones dentro del módulo Menú Digital QR y Auto-Pedido y validarse junto con el criterio de aceptación del RF/CU.</t>
  </si>
  <si>
    <t>El RF RF-QR-001 debe observar retención y archivo dentro del módulo Menú Digital QR y Auto-Pedido y validarse junto con el criterio de aceptación del RF/CU.</t>
  </si>
  <si>
    <t>El RF RF-QR-001 debe observar segregación de datos multi-sucursal dentro del módulo Menú Digital QR y Auto-Pedido y validarse junto con el criterio de aceptación del RF/CU.</t>
  </si>
  <si>
    <t>El RF RF-QR-002 debe observar seguridad dentro del módulo Menú Digital QR y Auto-Pedido y validarse junto con el criterio de aceptación del RF/CU.</t>
  </si>
  <si>
    <t>El RF RF-QR-002 debe observar interoperabilidad dentro del módulo Menú Digital QR y Auto-Pedido y validarse junto con el criterio de aceptación del RF/CU.</t>
  </si>
  <si>
    <t>El RF RF-QR-002 debe observar privacidad y minimización dentro del módulo Menú Digital QR y Auto-Pedido y validarse junto con el criterio de aceptación del RF/CU.</t>
  </si>
  <si>
    <t>El RF RF-QR-002 debe observar api e integraciones dentro del módulo Menú Digital QR y Auto-Pedido y validarse junto con el criterio de aceptación del RF/CU.</t>
  </si>
  <si>
    <t>El RF RF-QR-002 debe observar retención y archivo dentro del módulo Menú Digital QR y Auto-Pedido y validarse junto con el criterio de aceptación del RF/CU.</t>
  </si>
  <si>
    <t>El RF RF-QR-002 debe observar segregación de datos multi-sucursal dentro del módulo Menú Digital QR y Auto-Pedido y validarse junto con el criterio de aceptación del RF/CU.</t>
  </si>
  <si>
    <t>El RF RF-QR-003 debe observar seguridad dentro del módulo Menú Digital QR y Auto-Pedido y validarse junto con el criterio de aceptación del RF/CU.</t>
  </si>
  <si>
    <t>El RF RF-QR-003 debe observar interoperabilidad dentro del módulo Menú Digital QR y Auto-Pedido y validarse junto con el criterio de aceptación del RF/CU.</t>
  </si>
  <si>
    <t>El RF RF-QR-003 debe observar privacidad y minimización dentro del módulo Menú Digital QR y Auto-Pedido y validarse junto con el criterio de aceptación del RF/CU.</t>
  </si>
  <si>
    <t>El RF RF-QR-003 debe observar api e integraciones dentro del módulo Menú Digital QR y Auto-Pedido y validarse junto con el criterio de aceptación del RF/CU.</t>
  </si>
  <si>
    <t>El RF RF-QR-003 debe observar retención y archivo dentro del módulo Menú Digital QR y Auto-Pedido y validarse junto con el criterio de aceptación del RF/CU.</t>
  </si>
  <si>
    <t>El RF RF-QR-003 debe observar segregación de datos multi-sucursal dentro del módulo Menú Digital QR y Auto-Pedido y validarse junto con el criterio de aceptación del RF/CU.</t>
  </si>
  <si>
    <t>El RF RF-QR-004 debe observar seguridad dentro del módulo Menú Digital QR y Auto-Pedido y validarse junto con el criterio de aceptación del RF/CU.</t>
  </si>
  <si>
    <t>El RF RF-QR-004 debe observar interoperabilidad dentro del módulo Menú Digital QR y Auto-Pedido y validarse junto con el criterio de aceptación del RF/CU.</t>
  </si>
  <si>
    <t>El RF RF-QR-004 debe observar privacidad y minimización dentro del módulo Menú Digital QR y Auto-Pedido y validarse junto con el criterio de aceptación del RF/CU.</t>
  </si>
  <si>
    <t>El RF RF-QR-004 debe observar api e integraciones dentro del módulo Menú Digital QR y Auto-Pedido y validarse junto con el criterio de aceptación del RF/CU.</t>
  </si>
  <si>
    <t>El RF RF-QR-004 debe observar retención y archivo dentro del módulo Menú Digital QR y Auto-Pedido y validarse junto con el criterio de aceptación del RF/CU.</t>
  </si>
  <si>
    <t>El RF RF-QR-004 debe observar segregación de datos multi-sucursal dentro del módulo Menú Digital QR y Auto-Pedido y validarse junto con el criterio de aceptación del RF/CU.</t>
  </si>
  <si>
    <t>El RF RF-QR-005 debe observar seguridad dentro del módulo Menú Digital QR y Auto-Pedido y validarse junto con el criterio de aceptación del RF/CU.</t>
  </si>
  <si>
    <t>El RF RF-QR-005 debe observar interoperabilidad dentro del módulo Menú Digital QR y Auto-Pedido y validarse junto con el criterio de aceptación del RF/CU.</t>
  </si>
  <si>
    <t>El RF RF-QR-005 debe observar privacidad y minimización dentro del módulo Menú Digital QR y Auto-Pedido y validarse junto con el criterio de aceptación del RF/CU.</t>
  </si>
  <si>
    <t>El RF RF-QR-005 debe observar api e integraciones dentro del módulo Menú Digital QR y Auto-Pedido y validarse junto con el criterio de aceptación del RF/CU.</t>
  </si>
  <si>
    <t>El RF RF-QR-005 debe observar retención y archivo dentro del módulo Menú Digital QR y Auto-Pedido y validarse junto con el criterio de aceptación del RF/CU.</t>
  </si>
  <si>
    <t>El RF RF-QR-005 debe observar segregación de datos multi-sucursal dentro del módulo Menú Digital QR y Auto-Pedido y validarse junto con el criterio de aceptación del RF/CU.</t>
  </si>
  <si>
    <t>El RF RF-QR-006 debe observar seguridad dentro del módulo Menú Digital QR y Auto-Pedido y validarse junto con el criterio de aceptación del RF/CU.</t>
  </si>
  <si>
    <t>El RF RF-QR-006 debe observar interoperabilidad dentro del módulo Menú Digital QR y Auto-Pedido y validarse junto con el criterio de aceptación del RF/CU.</t>
  </si>
  <si>
    <t>El RF RF-QR-006 debe observar privacidad y minimización dentro del módulo Menú Digital QR y Auto-Pedido y validarse junto con el criterio de aceptación del RF/CU.</t>
  </si>
  <si>
    <t>El RF RF-QR-006 debe observar api e integraciones dentro del módulo Menú Digital QR y Auto-Pedido y validarse junto con el criterio de aceptación del RF/CU.</t>
  </si>
  <si>
    <t>El RF RF-QR-006 debe observar retención y archivo dentro del módulo Menú Digital QR y Auto-Pedido y validarse junto con el criterio de aceptación del RF/CU.</t>
  </si>
  <si>
    <t>El RF RF-QR-006 debe observar segregación de datos multi-sucursal dentro del módulo Menú Digital QR y Auto-Pedido y validarse junto con el criterio de aceptación del RF/CU.</t>
  </si>
  <si>
    <t>El RF RF-QR-007 debe observar seguridad dentro del módulo Menú Digital QR y Auto-Pedido y validarse junto con el criterio de aceptación del RF/CU.</t>
  </si>
  <si>
    <t>El RF RF-QR-007 debe observar interoperabilidad dentro del módulo Menú Digital QR y Auto-Pedido y validarse junto con el criterio de aceptación del RF/CU.</t>
  </si>
  <si>
    <t>El RF RF-QR-007 debe observar privacidad y minimización dentro del módulo Menú Digital QR y Auto-Pedido y validarse junto con el criterio de aceptación del RF/CU.</t>
  </si>
  <si>
    <t>El RF RF-QR-007 debe observar api e integraciones dentro del módulo Menú Digital QR y Auto-Pedido y validarse junto con el criterio de aceptación del RF/CU.</t>
  </si>
  <si>
    <t>El RF RF-QR-007 debe observar retención y archivo dentro del módulo Menú Digital QR y Auto-Pedido y validarse junto con el criterio de aceptación del RF/CU.</t>
  </si>
  <si>
    <t>El RF RF-QR-007 debe observar segregación de datos multi-sucursal dentro del módulo Menú Digital QR y Auto-Pedido y validarse junto con el criterio de aceptación del RF/CU.</t>
  </si>
  <si>
    <t>El RF RF-CRM-001 debe observar seguridad dentro del módulo Fidelización, CRM y Marketing y validarse junto con el criterio de aceptación del RF/CU.</t>
  </si>
  <si>
    <t>El RF RF-CRM-001 debe observar interoperabilidad dentro del módulo Fidelización, CRM y Marketing y validarse junto con el criterio de aceptación del RF/CU.</t>
  </si>
  <si>
    <t>El RF RF-CRM-001 debe observar privacidad y minimización dentro del módulo Fidelización, CRM y Marketing y validarse junto con el criterio de aceptación del RF/CU.</t>
  </si>
  <si>
    <t>El RF RF-CRM-001 debe observar api e integraciones dentro del módulo Fidelización, CRM y Marketing y validarse junto con el criterio de aceptación del RF/CU.</t>
  </si>
  <si>
    <t>El RF RF-CRM-001 debe observar retención y archivo dentro del módulo Fidelización, CRM y Marketing y validarse junto con el criterio de aceptación del RF/CU.</t>
  </si>
  <si>
    <t>El RF RF-CRM-001 debe observar segregación de datos multi-sucursal dentro del módulo Fidelización, CRM y Marketing y validarse junto con el criterio de aceptación del RF/CU.</t>
  </si>
  <si>
    <t>El RF RF-CRM-002 debe observar seguridad dentro del módulo Fidelización, CRM y Marketing y validarse junto con el criterio de aceptación del RF/CU.</t>
  </si>
  <si>
    <t>El RF RF-CRM-002 debe observar interoperabilidad dentro del módulo Fidelización, CRM y Marketing y validarse junto con el criterio de aceptación del RF/CU.</t>
  </si>
  <si>
    <t>El RF RF-CRM-002 debe observar privacidad y minimización dentro del módulo Fidelización, CRM y Marketing y validarse junto con el criterio de aceptación del RF/CU.</t>
  </si>
  <si>
    <t>El RF RF-CRM-002 debe observar api e integraciones dentro del módulo Fidelización, CRM y Marketing y validarse junto con el criterio de aceptación del RF/CU.</t>
  </si>
  <si>
    <t>El RF RF-CRM-002 debe observar retención y archivo dentro del módulo Fidelización, CRM y Marketing y validarse junto con el criterio de aceptación del RF/CU.</t>
  </si>
  <si>
    <t>El RF RF-CRM-002 debe observar segregación de datos multi-sucursal dentro del módulo Fidelización, CRM y Marketing y validarse junto con el criterio de aceptación del RF/CU.</t>
  </si>
  <si>
    <t>El RF RF-CRM-003 debe observar seguridad dentro del módulo Fidelización, CRM y Marketing y validarse junto con el criterio de aceptación del RF/CU.</t>
  </si>
  <si>
    <t>El RF RF-CRM-003 debe observar interoperabilidad dentro del módulo Fidelización, CRM y Marketing y validarse junto con el criterio de aceptación del RF/CU.</t>
  </si>
  <si>
    <t>El RF RF-CRM-003 debe observar privacidad y minimización dentro del módulo Fidelización, CRM y Marketing y validarse junto con el criterio de aceptación del RF/CU.</t>
  </si>
  <si>
    <t>El RF RF-CRM-003 debe observar api e integraciones dentro del módulo Fidelización, CRM y Marketing y validarse junto con el criterio de aceptación del RF/CU.</t>
  </si>
  <si>
    <t>El RF RF-CRM-003 debe observar retención y archivo dentro del módulo Fidelización, CRM y Marketing y validarse junto con el criterio de aceptación del RF/CU.</t>
  </si>
  <si>
    <t>El RF RF-CRM-003 debe observar segregación de datos multi-sucursal dentro del módulo Fidelización, CRM y Marketing y validarse junto con el criterio de aceptación del RF/CU.</t>
  </si>
  <si>
    <t>El RF RF-CRM-004 debe observar seguridad dentro del módulo Fidelización, CRM y Marketing y validarse junto con el criterio de aceptación del RF/CU.</t>
  </si>
  <si>
    <t>El RF RF-CRM-004 debe observar interoperabilidad dentro del módulo Fidelización, CRM y Marketing y validarse junto con el criterio de aceptación del RF/CU.</t>
  </si>
  <si>
    <t>El RF RF-CRM-004 debe observar privacidad y minimización dentro del módulo Fidelización, CRM y Marketing y validarse junto con el criterio de aceptación del RF/CU.</t>
  </si>
  <si>
    <t>El RF RF-CRM-004 debe observar api e integraciones dentro del módulo Fidelización, CRM y Marketing y validarse junto con el criterio de aceptación del RF/CU.</t>
  </si>
  <si>
    <t>El RF RF-CRM-004 debe observar retención y archivo dentro del módulo Fidelización, CRM y Marketing y validarse junto con el criterio de aceptación del RF/CU.</t>
  </si>
  <si>
    <t>El RF RF-CRM-004 debe observar segregación de datos multi-sucursal dentro del módulo Fidelización, CRM y Marketing y validarse junto con el criterio de aceptación del RF/CU.</t>
  </si>
  <si>
    <t>El RF RF-CRM-005 debe observar seguridad dentro del módulo Fidelización, CRM y Marketing y validarse junto con el criterio de aceptación del RF/CU.</t>
  </si>
  <si>
    <t>El RF RF-CRM-005 debe observar interoperabilidad dentro del módulo Fidelización, CRM y Marketing y validarse junto con el criterio de aceptación del RF/CU.</t>
  </si>
  <si>
    <t>El RF RF-CRM-005 debe observar privacidad y minimización dentro del módulo Fidelización, CRM y Marketing y validarse junto con el criterio de aceptación del RF/CU.</t>
  </si>
  <si>
    <t>El RF RF-CRM-005 debe observar api e integraciones dentro del módulo Fidelización, CRM y Marketing y validarse junto con el criterio de aceptación del RF/CU.</t>
  </si>
  <si>
    <t>El RF RF-CRM-005 debe observar retención y archivo dentro del módulo Fidelización, CRM y Marketing y validarse junto con el criterio de aceptación del RF/CU.</t>
  </si>
  <si>
    <t>El RF RF-CRM-005 debe observar segregación de datos multi-sucursal dentro del módulo Fidelización, CRM y Marketing y validarse junto con el criterio de aceptación del RF/CU.</t>
  </si>
  <si>
    <t>El RF RF-CRM-006 debe observar seguridad dentro del módulo Fidelización, CRM y Marketing y validarse junto con el criterio de aceptación del RF/CU.</t>
  </si>
  <si>
    <t>El RF RF-CRM-006 debe observar interoperabilidad dentro del módulo Fidelización, CRM y Marketing y validarse junto con el criterio de aceptación del RF/CU.</t>
  </si>
  <si>
    <t>El RF RF-CRM-006 debe observar privacidad y minimización dentro del módulo Fidelización, CRM y Marketing y validarse junto con el criterio de aceptación del RF/CU.</t>
  </si>
  <si>
    <t>El RF RF-CRM-006 debe observar api e integraciones dentro del módulo Fidelización, CRM y Marketing y validarse junto con el criterio de aceptación del RF/CU.</t>
  </si>
  <si>
    <t>El RF RF-CRM-006 debe observar retención y archivo dentro del módulo Fidelización, CRM y Marketing y validarse junto con el criterio de aceptación del RF/CU.</t>
  </si>
  <si>
    <t>El RF RF-CRM-006 debe observar segregación de datos multi-sucursal dentro del módulo Fidelización, CRM y Marketing y validarse junto con el criterio de aceptación del RF/CU.</t>
  </si>
  <si>
    <t>El RF RF-CRM-007 debe observar seguridad dentro del módulo Fidelización, CRM y Marketing y validarse junto con el criterio de aceptación del RF/CU.</t>
  </si>
  <si>
    <t>El RF RF-CRM-007 debe observar interoperabilidad dentro del módulo Fidelización, CRM y Marketing y validarse junto con el criterio de aceptación del RF/CU.</t>
  </si>
  <si>
    <t>El RF RF-CRM-007 debe observar privacidad y minimización dentro del módulo Fidelización, CRM y Marketing y validarse junto con el criterio de aceptación del RF/CU.</t>
  </si>
  <si>
    <t>El RF RF-CRM-007 debe observar api e integraciones dentro del módulo Fidelización, CRM y Marketing y validarse junto con el criterio de aceptación del RF/CU.</t>
  </si>
  <si>
    <t>El RF RF-CRM-007 debe observar retención y archivo dentro del módulo Fidelización, CRM y Marketing y validarse junto con el criterio de aceptación del RF/CU.</t>
  </si>
  <si>
    <t>El RF RF-CRM-007 debe observar segregación de datos multi-sucursal dentro del módulo Fidelización, CRM y Marketing y validarse junto con el criterio de aceptación del RF/CU.</t>
  </si>
  <si>
    <t>El RF RF-CRM-008 debe observar seguridad dentro del módulo Fidelización, CRM y Marketing y validarse junto con el criterio de aceptación del RF/CU.</t>
  </si>
  <si>
    <t>El RF RF-CRM-008 debe observar interoperabilidad dentro del módulo Fidelización, CRM y Marketing y validarse junto con el criterio de aceptación del RF/CU.</t>
  </si>
  <si>
    <t>El RF RF-CRM-008 debe observar privacidad y minimización dentro del módulo Fidelización, CRM y Marketing y validarse junto con el criterio de aceptación del RF/CU.</t>
  </si>
  <si>
    <t>El RF RF-CRM-008 debe observar api e integraciones dentro del módulo Fidelización, CRM y Marketing y validarse junto con el criterio de aceptación del RF/CU.</t>
  </si>
  <si>
    <t>El RF RF-CRM-008 debe observar retención y archivo dentro del módulo Fidelización, CRM y Marketing y validarse junto con el criterio de aceptación del RF/CU.</t>
  </si>
  <si>
    <t>El RF RF-CRM-008 debe observar segregación de datos multi-sucursal dentro del módulo Fidelización, CRM y Marketing y validarse junto con el criterio de aceptación del RF/CU.</t>
  </si>
  <si>
    <t>El RF RF-AUTH-010 debe observar seguridad dentro del módulo Autenticación y Control de Acceso y validarse junto con el criterio de aceptación del RF/CU.</t>
  </si>
  <si>
    <t>El RF RF-AUTH-010 debe observar auditabilidad dentro del módulo Autenticación y Control de Acceso y validarse junto con el criterio de aceptación del RF/CU.</t>
  </si>
  <si>
    <t>El RF RF-AUTH-010 debe observar observabilidad dentro del módulo Autenticación y Control de Acceso y validarse junto con el criterio de aceptación del RF/CU.</t>
  </si>
  <si>
    <t>El RF RF-AUTH-010 debe observar retención y archivo dentro del módulo Autenticación y Control de Acceso y validarse junto con el criterio de aceptación del RF/CU.</t>
  </si>
  <si>
    <t>El RF RF-AUTH-010 debe observar segregación de datos multi-sucursal dentro del módulo Autenticación y Control de Acceso y validarse junto con el criterio de aceptación del RF/CU.</t>
  </si>
  <si>
    <t>El RF RF-AUTH-011 debe observar seguridad dentro del módulo Autenticación y Control de Acceso y validarse junto con el criterio de aceptación del RF/CU.</t>
  </si>
  <si>
    <t>El RF RF-AUTH-011 debe observar auditabilidad dentro del módulo Autenticación y Control de Acceso y validarse junto con el criterio de aceptación del RF/CU.</t>
  </si>
  <si>
    <t>El RF RF-AUTH-011 debe observar observabilidad dentro del módulo Autenticación y Control de Acceso y validarse junto con el criterio de aceptación del RF/CU.</t>
  </si>
  <si>
    <t>El RF RF-AUTH-011 debe observar retención y archivo dentro del módulo Autenticación y Control de Acceso y validarse junto con el criterio de aceptación del RF/CU.</t>
  </si>
  <si>
    <t>El RF RF-AUTH-011 debe observar segregación de datos multi-sucursal dentro del módulo Autenticación y Control de Acceso y validarse junto con el criterio de aceptación del RF/CU.</t>
  </si>
  <si>
    <t>El RF RF-AUTH-012 debe observar seguridad dentro del módulo Autenticación y Control de Acceso y validarse junto con el criterio de aceptación del RF/CU.</t>
  </si>
  <si>
    <t>El RF RF-AUTH-012 debe observar auditabilidad dentro del módulo Autenticación y Control de Acceso y validarse junto con el criterio de aceptación del RF/CU.</t>
  </si>
  <si>
    <t>El RF RF-AUTH-012 debe observar observabilidad dentro del módulo Autenticación y Control de Acceso y validarse junto con el criterio de aceptación del RF/CU.</t>
  </si>
  <si>
    <t>El RF RF-AUTH-012 debe observar retención y archivo dentro del módulo Autenticación y Control de Acceso y validarse junto con el criterio de aceptación del RF/CU.</t>
  </si>
  <si>
    <t>El RF RF-AUTH-012 debe observar segregación de datos multi-sucursal dentro del módulo Autenticación y Control de Acceso y validarse junto con el criterio de aceptación del RF/CU.</t>
  </si>
  <si>
    <t>El RF RF-CAT-001 debe observar seguridad dentro del módulo Catálogo, Menú, Precios y Disponibilidad y validarse junto con el criterio de aceptación del RF/CU.</t>
  </si>
  <si>
    <t>El RF RF-CAT-001 debe observar auditabilidad dentro del módulo Catálogo, Menú, Precios y Disponibilidad y validarse junto con el criterio de aceptación del RF/CU.</t>
  </si>
  <si>
    <t>El RF RF-CAT-001 debe observar observabilidad dentro del módulo Catálogo, Menú, Precios y Disponibilidad y validarse junto con el criterio de aceptación del RF/CU.</t>
  </si>
  <si>
    <t>El RF RF-CAT-001 debe observar localización y precisión monetaria dentro del módulo Catálogo, Menú, Precios y Disponibilidad y validarse junto con el criterio de aceptación del RF/CU.</t>
  </si>
  <si>
    <t>El RF RF-CAT-001 debe observar retención y archivo dentro del módulo Catálogo, Menú, Precios y Disponibilidad y validarse junto con el criterio de aceptación del RF/CU.</t>
  </si>
  <si>
    <t>El RF RF-CAT-001 debe observar segregación de datos multi-sucursal dentro del módulo Catálogo, Menú, Precios y Disponibilidad y validarse junto con el criterio de aceptación del RF/CU.</t>
  </si>
  <si>
    <t>El RF RF-CAT-002 debe observar seguridad dentro del módulo Catálogo, Menú, Precios y Disponibilidad y validarse junto con el criterio de aceptación del RF/CU.</t>
  </si>
  <si>
    <t>El RF RF-CAT-002 debe observar auditabilidad dentro del módulo Catálogo, Menú, Precios y Disponibilidad y validarse junto con el criterio de aceptación del RF/CU.</t>
  </si>
  <si>
    <t>El RF RF-CAT-002 debe observar observabilidad dentro del módulo Catálogo, Menú, Precios y Disponibilidad y validarse junto con el criterio de aceptación del RF/CU.</t>
  </si>
  <si>
    <t>El RF RF-CAT-002 debe observar localización y precisión monetaria dentro del módulo Catálogo, Menú, Precios y Disponibilidad y validarse junto con el criterio de aceptación del RF/CU.</t>
  </si>
  <si>
    <t>El RF RF-CAT-002 debe observar retención y archivo dentro del módulo Catálogo, Menú, Precios y Disponibilidad y validarse junto con el criterio de aceptación del RF/CU.</t>
  </si>
  <si>
    <t>El RF RF-CAT-002 debe observar segregación de datos multi-sucursal dentro del módulo Catálogo, Menú, Precios y Disponibilidad y validarse junto con el criterio de aceptación del RF/CU.</t>
  </si>
  <si>
    <t>El RF RF-CAT-003 debe observar seguridad dentro del módulo Catálogo, Menú, Precios y Disponibilidad y validarse junto con el criterio de aceptación del RF/CU.</t>
  </si>
  <si>
    <t>El RF RF-CAT-003 debe observar auditabilidad dentro del módulo Catálogo, Menú, Precios y Disponibilidad y validarse junto con el criterio de aceptación del RF/CU.</t>
  </si>
  <si>
    <t>El RF RF-CAT-003 debe observar observabilidad dentro del módulo Catálogo, Menú, Precios y Disponibilidad y validarse junto con el criterio de aceptación del RF/CU.</t>
  </si>
  <si>
    <t>El RF RF-CAT-003 debe observar localización y precisión monetaria dentro del módulo Catálogo, Menú, Precios y Disponibilidad y validarse junto con el criterio de aceptación del RF/CU.</t>
  </si>
  <si>
    <t>El RF RF-CAT-003 debe observar retención y archivo dentro del módulo Catálogo, Menú, Precios y Disponibilidad y validarse junto con el criterio de aceptación del RF/CU.</t>
  </si>
  <si>
    <t>El RF RF-CAT-003 debe observar segregación de datos multi-sucursal dentro del módulo Catálogo, Menú, Precios y Disponibilidad y validarse junto con el criterio de aceptación del RF/CU.</t>
  </si>
  <si>
    <t>El RF RF-CAT-004 debe observar seguridad dentro del módulo Catálogo, Menú, Precios y Disponibilidad y validarse junto con el criterio de aceptación del RF/CU.</t>
  </si>
  <si>
    <t>El RF RF-CAT-004 debe observar auditabilidad dentro del módulo Catálogo, Menú, Precios y Disponibilidad y validarse junto con el criterio de aceptación del RF/CU.</t>
  </si>
  <si>
    <t>El RF RF-CAT-004 debe observar observabilidad dentro del módulo Catálogo, Menú, Precios y Disponibilidad y validarse junto con el criterio de aceptación del RF/CU.</t>
  </si>
  <si>
    <t>El RF RF-CAT-004 debe observar localización y precisión monetaria dentro del módulo Catálogo, Menú, Precios y Disponibilidad y validarse junto con el criterio de aceptación del RF/CU.</t>
  </si>
  <si>
    <t>El RF RF-CAT-004 debe observar retención y archivo dentro del módulo Catálogo, Menú, Precios y Disponibilidad y validarse junto con el criterio de aceptación del RF/CU.</t>
  </si>
  <si>
    <t>El RF RF-CAT-004 debe observar segregación de datos multi-sucursal dentro del módulo Catálogo, Menú, Precios y Disponibilidad y validarse junto con el criterio de aceptación del RF/CU.</t>
  </si>
  <si>
    <t>El RF RF-CAT-005 debe observar seguridad dentro del módulo Catálogo, Menú, Precios y Disponibilidad y validarse junto con el criterio de aceptación del RF/CU.</t>
  </si>
  <si>
    <t>El RF RF-CAT-005 debe observar auditabilidad dentro del módulo Catálogo, Menú, Precios y Disponibilidad y validarse junto con el criterio de aceptación del RF/CU.</t>
  </si>
  <si>
    <t>El RF RF-CAT-005 debe observar observabilidad dentro del módulo Catálogo, Menú, Precios y Disponibilidad y validarse junto con el criterio de aceptación del RF/CU.</t>
  </si>
  <si>
    <t>El RF RF-CAT-005 debe observar localización y precisión monetaria dentro del módulo Catálogo, Menú, Precios y Disponibilidad y validarse junto con el criterio de aceptación del RF/CU.</t>
  </si>
  <si>
    <t>El RF RF-CAT-005 debe observar retención y archivo dentro del módulo Catálogo, Menú, Precios y Disponibilidad y validarse junto con el criterio de aceptación del RF/CU.</t>
  </si>
  <si>
    <t>El RF RF-CAT-005 debe observar segregación de datos multi-sucursal dentro del módulo Catálogo, Menú, Precios y Disponibilidad y validarse junto con el criterio de aceptación del RF/CU.</t>
  </si>
  <si>
    <t>El RF RF-CAT-006 debe observar seguridad dentro del módulo Catálogo, Menú, Precios y Disponibilidad y validarse junto con el criterio de aceptación del RF/CU.</t>
  </si>
  <si>
    <t>El RF RF-CAT-006 debe observar auditabilidad dentro del módulo Catálogo, Menú, Precios y Disponibilidad y validarse junto con el criterio de aceptación del RF/CU.</t>
  </si>
  <si>
    <t>El RF RF-CAT-006 debe observar observabilidad dentro del módulo Catálogo, Menú, Precios y Disponibilidad y validarse junto con el criterio de aceptación del RF/CU.</t>
  </si>
  <si>
    <t>El RF RF-CAT-006 debe observar localización y precisión monetaria dentro del módulo Catálogo, Menú, Precios y Disponibilidad y validarse junto con el criterio de aceptación del RF/CU.</t>
  </si>
  <si>
    <t>El RF RF-CAT-006 debe observar retención y archivo dentro del módulo Catálogo, Menú, Precios y Disponibilidad y validarse junto con el criterio de aceptación del RF/CU.</t>
  </si>
  <si>
    <t>El RF RF-CAT-006 debe observar segregación de datos multi-sucursal dentro del módulo Catálogo, Menú, Precios y Disponibilidad y validarse junto con el criterio de aceptación del RF/CU.</t>
  </si>
  <si>
    <t>El RF RF-PUR-001 debe observar auditabilidad dentro del módulo Compras y Proveedores y validarse junto con el criterio de aceptación del RF/CU.</t>
  </si>
  <si>
    <t>El RF RF-PUR-001 debe observar integridad e idempotencia dentro del módulo Compras y Proveedores y validarse junto con el criterio de aceptación del RF/CU.</t>
  </si>
  <si>
    <t>El RF RF-PUR-001 debe observar observabilidad dentro del módulo Compras y Proveedores y validarse junto con el criterio de aceptación del RF/CU.</t>
  </si>
  <si>
    <t>El RF RF-PUR-001 debe observar localización y precisión monetaria dentro del módulo Compras y Proveedores y validarse junto con el criterio de aceptación del RF/CU.</t>
  </si>
  <si>
    <t>El RF RF-PUR-001 debe observar retención y archivo dentro del módulo Compras y Proveedores y validarse junto con el criterio de aceptación del RF/CU.</t>
  </si>
  <si>
    <t>El RF RF-PUR-001 debe observar segregación de datos multi-sucursal dentro del módulo Compras y Proveedores y validarse junto con el criterio de aceptación del RF/CU.</t>
  </si>
  <si>
    <t>El RF RF-PUR-002 debe observar auditabilidad dentro del módulo Compras y Proveedores y validarse junto con el criterio de aceptación del RF/CU.</t>
  </si>
  <si>
    <t>El RF RF-PUR-002 debe observar integridad e idempotencia dentro del módulo Compras y Proveedores y validarse junto con el criterio de aceptación del RF/CU.</t>
  </si>
  <si>
    <t>El RF RF-PUR-002 debe observar observabilidad dentro del módulo Compras y Proveedores y validarse junto con el criterio de aceptación del RF/CU.</t>
  </si>
  <si>
    <t>El RF RF-PUR-002 debe observar localización y precisión monetaria dentro del módulo Compras y Proveedores y validarse junto con el criterio de aceptación del RF/CU.</t>
  </si>
  <si>
    <t>El RF RF-PUR-002 debe observar retención y archivo dentro del módulo Compras y Proveedores y validarse junto con el criterio de aceptación del RF/CU.</t>
  </si>
  <si>
    <t>El RF RF-PUR-002 debe observar segregación de datos multi-sucursal dentro del módulo Compras y Proveedores y validarse junto con el criterio de aceptación del RF/CU.</t>
  </si>
  <si>
    <t>El RF RF-PUR-003 debe observar auditabilidad dentro del módulo Compras y Proveedores y validarse junto con el criterio de aceptación del RF/CU.</t>
  </si>
  <si>
    <t>El RF RF-PUR-003 debe observar integridad e idempotencia dentro del módulo Compras y Proveedores y validarse junto con el criterio de aceptación del RF/CU.</t>
  </si>
  <si>
    <t>El RF RF-PUR-003 debe observar observabilidad dentro del módulo Compras y Proveedores y validarse junto con el criterio de aceptación del RF/CU.</t>
  </si>
  <si>
    <t>El RF RF-PUR-003 debe observar localización y precisión monetaria dentro del módulo Compras y Proveedores y validarse junto con el criterio de aceptación del RF/CU.</t>
  </si>
  <si>
    <t>El RF RF-PUR-003 debe observar retención y archivo dentro del módulo Compras y Proveedores y validarse junto con el criterio de aceptación del RF/CU.</t>
  </si>
  <si>
    <t>El RF RF-PUR-003 debe observar segregación de datos multi-sucursal dentro del módulo Compras y Proveedores y validarse junto con el criterio de aceptación del RF/CU.</t>
  </si>
  <si>
    <t>El RF RF-PUR-004 debe observar auditabilidad dentro del módulo Compras y Proveedores y validarse junto con el criterio de aceptación del RF/CU.</t>
  </si>
  <si>
    <t>El RF RF-PUR-004 debe observar integridad e idempotencia dentro del módulo Compras y Proveedores y validarse junto con el criterio de aceptación del RF/CU.</t>
  </si>
  <si>
    <t>El RF RF-PUR-004 debe observar observabilidad dentro del módulo Compras y Proveedores y validarse junto con el criterio de aceptación del RF/CU.</t>
  </si>
  <si>
    <t>El RF RF-PUR-004 debe observar localización y precisión monetaria dentro del módulo Compras y Proveedores y validarse junto con el criterio de aceptación del RF/CU.</t>
  </si>
  <si>
    <t>El RF RF-PUR-004 debe observar retención y archivo dentro del módulo Compras y Proveedores y validarse junto con el criterio de aceptación del RF/CU.</t>
  </si>
  <si>
    <t>El RF RF-PUR-004 debe observar segregación de datos multi-sucursal dentro del módulo Compras y Proveedores y validarse junto con el criterio de aceptación del RF/CU.</t>
  </si>
  <si>
    <t>El RF RF-PUR-005 debe observar auditabilidad dentro del módulo Compras y Proveedores y validarse junto con el criterio de aceptación del RF/CU.</t>
  </si>
  <si>
    <t>El RF RF-PUR-005 debe observar integridad e idempotencia dentro del módulo Compras y Proveedores y validarse junto con el criterio de aceptación del RF/CU.</t>
  </si>
  <si>
    <t>El RF RF-PUR-005 debe observar observabilidad dentro del módulo Compras y Proveedores y validarse junto con el criterio de aceptación del RF/CU.</t>
  </si>
  <si>
    <t>El RF RF-PUR-005 debe observar localización y precisión monetaria dentro del módulo Compras y Proveedores y validarse junto con el criterio de aceptación del RF/CU.</t>
  </si>
  <si>
    <t>El RF RF-PUR-005 debe observar retención y archivo dentro del módulo Compras y Proveedores y validarse junto con el criterio de aceptación del RF/CU.</t>
  </si>
  <si>
    <t>El RF RF-PUR-005 debe observar segregación de datos multi-sucursal dentro del módulo Compras y Proveedores y validarse junto con el criterio de aceptación del RF/CU.</t>
  </si>
  <si>
    <t>El RF RF-INV-008 debe observar auditabilidad dentro del módulo Inventarios y Recetas y validarse junto con el criterio de aceptación del RF/CU.</t>
  </si>
  <si>
    <t>El RF RF-INV-008 debe observar integridad e idempotencia dentro del módulo Inventarios y Recetas y validarse junto con el criterio de aceptación del RF/CU.</t>
  </si>
  <si>
    <t>El RF RF-INV-008 debe observar observabilidad dentro del módulo Inventarios y Recetas y validarse junto con el criterio de aceptación del RF/CU.</t>
  </si>
  <si>
    <t>El RF RF-INV-008 debe observar localización y precisión monetaria dentro del módulo Inventarios y Recetas y validarse junto con el criterio de aceptación del RF/CU.</t>
  </si>
  <si>
    <t>El RF RF-INV-008 debe observar retención y archivo dentro del módulo Inventarios y Recetas y validarse junto con el criterio de aceptación del RF/CU.</t>
  </si>
  <si>
    <t>El RF RF-INV-008 debe observar segregación de datos multi-sucursal dentro del módulo Inventarios y Recetas y validarse junto con el criterio de aceptación del RF/CU.</t>
  </si>
  <si>
    <t>El RF RF-INV-009 debe observar auditabilidad dentro del módulo Inventarios y Recetas y validarse junto con el criterio de aceptación del RF/CU.</t>
  </si>
  <si>
    <t>El RF RF-INV-009 debe observar integridad e idempotencia dentro del módulo Inventarios y Recetas y validarse junto con el criterio de aceptación del RF/CU.</t>
  </si>
  <si>
    <t>El RF RF-INV-009 debe observar observabilidad dentro del módulo Inventarios y Recetas y validarse junto con el criterio de aceptación del RF/CU.</t>
  </si>
  <si>
    <t>El RF RF-INV-009 debe observar localización y precisión monetaria dentro del módulo Inventarios y Recetas y validarse junto con el criterio de aceptación del RF/CU.</t>
  </si>
  <si>
    <t>El RF RF-INV-009 debe observar retención y archivo dentro del módulo Inventarios y Recetas y validarse junto con el criterio de aceptación del RF/CU.</t>
  </si>
  <si>
    <t>El RF RF-INV-009 debe observar segregación de datos multi-sucursal dentro del módulo Inventarios y Recetas y validarse junto con el criterio de aceptación del RF/CU.</t>
  </si>
  <si>
    <t>El RF RF-INV-010 debe observar auditabilidad dentro del módulo Inventarios y Recetas y validarse junto con el criterio de aceptación del RF/CU.</t>
  </si>
  <si>
    <t>El RF RF-INV-010 debe observar integridad e idempotencia dentro del módulo Inventarios y Recetas y validarse junto con el criterio de aceptación del RF/CU.</t>
  </si>
  <si>
    <t>El RF RF-INV-010 debe observar observabilidad dentro del módulo Inventarios y Recetas y validarse junto con el criterio de aceptación del RF/CU.</t>
  </si>
  <si>
    <t>El RF RF-INV-010 debe observar localización y precisión monetaria dentro del módulo Inventarios y Recetas y validarse junto con el criterio de aceptación del RF/CU.</t>
  </si>
  <si>
    <t>El RF RF-INV-010 debe observar retención y archivo dentro del módulo Inventarios y Recetas y validarse junto con el criterio de aceptación del RF/CU.</t>
  </si>
  <si>
    <t>El RF RF-INV-010 debe observar segregación de datos multi-sucursal dentro del módulo Inventarios y Recetas y validarse junto con el criterio de aceptación del RF/CU.</t>
  </si>
  <si>
    <t>El RF RF-INV-011 debe observar auditabilidad dentro del módulo Inventarios y Recetas y validarse junto con el criterio de aceptación del RF/CU.</t>
  </si>
  <si>
    <t>El RF RF-INV-011 debe observar integridad e idempotencia dentro del módulo Inventarios y Recetas y validarse junto con el criterio de aceptación del RF/CU.</t>
  </si>
  <si>
    <t>El RF RF-INV-011 debe observar observabilidad dentro del módulo Inventarios y Recetas y validarse junto con el criterio de aceptación del RF/CU.</t>
  </si>
  <si>
    <t>El RF RF-INV-011 debe observar localización y precisión monetaria dentro del módulo Inventarios y Recetas y validarse junto con el criterio de aceptación del RF/CU.</t>
  </si>
  <si>
    <t>El RF RF-INV-011 debe observar retención y archivo dentro del módulo Inventarios y Recetas y validarse junto con el criterio de aceptación del RF/CU.</t>
  </si>
  <si>
    <t>El RF RF-INV-011 debe observar segregación de datos multi-sucursal dentro del módulo Inventarios y Recetas y validarse junto con el criterio de aceptación del RF/CU.</t>
  </si>
  <si>
    <t>El RF RF-ORD-007 debe observar rendimiento dentro del módulo Gestión de Órdenes y validarse junto con el criterio de aceptación del RF/CU.</t>
  </si>
  <si>
    <t>El RF RF-ORD-007 debe observar sincronización en tiempo real dentro del módulo Gestión de Órdenes y validarse junto con el criterio de aceptación del RF/CU.</t>
  </si>
  <si>
    <t>El RF RF-ORD-007 debe observar integridad e idempotencia dentro del módulo Gestión de Órdenes y validarse junto con el criterio de aceptación del RF/CU.</t>
  </si>
  <si>
    <t>El RF RF-ORD-007 debe observar observabilidad dentro del módulo Gestión de Órdenes y validarse junto con el criterio de aceptación del RF/CU.</t>
  </si>
  <si>
    <t>El RF RF-ORD-007 debe observar operación offline y resincronización dentro del módulo Gestión de Órdenes y validarse junto con el criterio de aceptación del RF/CU.</t>
  </si>
  <si>
    <t>El RF RF-ORD-007 debe observar segregación de datos multi-sucursal dentro del módulo Gestión de Órdenes y validarse junto con el criterio de aceptación del RF/CU.</t>
  </si>
  <si>
    <t>El RF RF-ORD-008 debe observar rendimiento dentro del módulo Gestión de Órdenes y validarse junto con el criterio de aceptación del RF/CU.</t>
  </si>
  <si>
    <t>El RF RF-ORD-008 debe observar sincronización en tiempo real dentro del módulo Gestión de Órdenes y validarse junto con el criterio de aceptación del RF/CU.</t>
  </si>
  <si>
    <t>El RF RF-ORD-008 debe observar integridad e idempotencia dentro del módulo Gestión de Órdenes y validarse junto con el criterio de aceptación del RF/CU.</t>
  </si>
  <si>
    <t>El RF RF-ORD-008 debe observar observabilidad dentro del módulo Gestión de Órdenes y validarse junto con el criterio de aceptación del RF/CU.</t>
  </si>
  <si>
    <t>El RF RF-ORD-008 debe observar operación offline y resincronización dentro del módulo Gestión de Órdenes y validarse junto con el criterio de aceptación del RF/CU.</t>
  </si>
  <si>
    <t>El RF RF-ORD-008 debe observar segregación de datos multi-sucursal dentro del módulo Gestión de Órdenes y validarse junto con el criterio de aceptación del RF/CU.</t>
  </si>
  <si>
    <t>El RF RF-PAG-009 debe observar seguridad dentro del módulo Gestión de Pagos (POS y Backoffice) y validarse junto con el criterio de aceptación del RF/CU.</t>
  </si>
  <si>
    <t>El RF RF-PAG-009 debe observar cumplimiento normativo dentro del módulo Gestión de Pagos (POS y Backoffice) y validarse junto con el criterio de aceptación del RF/CU.</t>
  </si>
  <si>
    <t>El RF RF-PAG-009 debe observar auditabilidad dentro del módulo Gestión de Pagos (POS y Backoffice) y validarse junto con el criterio de aceptación del RF/CU.</t>
  </si>
  <si>
    <t>El RF RF-PAG-009 debe observar integridad e idempotencia dentro del módulo Gestión de Pagos (POS y Backoffice) y validarse junto con el criterio de aceptación del RF/CU.</t>
  </si>
  <si>
    <t>El RF RF-PAG-009 debe observar observabilidad dentro del módulo Gestión de Pagos (POS y Backoffice) y validarse junto con el criterio de aceptación del RF/CU.</t>
  </si>
  <si>
    <t>El RF RF-PAG-009 debe observar localización y precisión monetaria dentro del módulo Gestión de Pagos (POS y Backoffice) y validarse junto con el criterio de aceptación del RF/CU.</t>
  </si>
  <si>
    <t>El RF RF-PAG-009 debe observar api e integraciones dentro del módulo Gestión de Pagos (POS y Backoffice) y validarse junto con el criterio de aceptación del RF/CU.</t>
  </si>
  <si>
    <t>El RF RF-PAG-009 debe observar segregación de datos multi-sucursal dentro del módulo Gestión de Pagos (POS y Backoffice) y validarse junto con el criterio de aceptación del RF/CU.</t>
  </si>
  <si>
    <t>El RF RF-PAG-010 debe observar seguridad dentro del módulo Gestión de Pagos (POS y Backoffice) y validarse junto con el criterio de aceptación del RF/CU.</t>
  </si>
  <si>
    <t>El RF RF-PAG-010 debe observar cumplimiento normativo dentro del módulo Gestión de Pagos (POS y Backoffice) y validarse junto con el criterio de aceptación del RF/CU.</t>
  </si>
  <si>
    <t>El RF RF-PAG-010 debe observar auditabilidad dentro del módulo Gestión de Pagos (POS y Backoffice) y validarse junto con el criterio de aceptación del RF/CU.</t>
  </si>
  <si>
    <t>El RF RF-PAG-010 debe observar integridad e idempotencia dentro del módulo Gestión de Pagos (POS y Backoffice) y validarse junto con el criterio de aceptación del RF/CU.</t>
  </si>
  <si>
    <t>El RF RF-PAG-010 debe observar observabilidad dentro del módulo Gestión de Pagos (POS y Backoffice) y validarse junto con el criterio de aceptación del RF/CU.</t>
  </si>
  <si>
    <t>El RF RF-PAG-010 debe observar localización y precisión monetaria dentro del módulo Gestión de Pagos (POS y Backoffice) y validarse junto con el criterio de aceptación del RF/CU.</t>
  </si>
  <si>
    <t>El RF RF-PAG-010 debe observar api e integraciones dentro del módulo Gestión de Pagos (POS y Backoffice) y validarse junto con el criterio de aceptación del RF/CU.</t>
  </si>
  <si>
    <t>El RF RF-PAG-010 debe observar segregación de datos multi-sucursal dentro del módulo Gestión de Pagos (POS y Backoffice) y validarse junto con el criterio de aceptación del RF/CU.</t>
  </si>
  <si>
    <t>El RF RF-PAG-011 debe observar seguridad dentro del módulo Gestión de Pagos (POS y Backoffice) y validarse junto con el criterio de aceptación del RF/CU.</t>
  </si>
  <si>
    <t>El RF RF-PAG-011 debe observar cumplimiento normativo dentro del módulo Gestión de Pagos (POS y Backoffice) y validarse junto con el criterio de aceptación del RF/CU.</t>
  </si>
  <si>
    <t>El RF RF-PAG-011 debe observar auditabilidad dentro del módulo Gestión de Pagos (POS y Backoffice) y validarse junto con el criterio de aceptación del RF/CU.</t>
  </si>
  <si>
    <t>El RF RF-PAG-011 debe observar integridad e idempotencia dentro del módulo Gestión de Pagos (POS y Backoffice) y validarse junto con el criterio de aceptación del RF/CU.</t>
  </si>
  <si>
    <t>El RF RF-PAG-011 debe observar observabilidad dentro del módulo Gestión de Pagos (POS y Backoffice) y validarse junto con el criterio de aceptación del RF/CU.</t>
  </si>
  <si>
    <t>El RF RF-PAG-011 debe observar localización y precisión monetaria dentro del módulo Gestión de Pagos (POS y Backoffice) y validarse junto con el criterio de aceptación del RF/CU.</t>
  </si>
  <si>
    <t>El RF RF-PAG-011 debe observar api e integraciones dentro del módulo Gestión de Pagos (POS y Backoffice) y validarse junto con el criterio de aceptación del RF/CU.</t>
  </si>
  <si>
    <t>El RF RF-PAG-011 debe observar segregación de datos multi-sucursal dentro del módulo Gestión de Pagos (POS y Backoffice) y validarse junto con el criterio de aceptación del RF/CU.</t>
  </si>
  <si>
    <t>El RF RF-RES-008 debe observar seguridad dentro del módulo Reservaciones y Lista de Espera y validarse junto con el criterio de aceptación del RF/CU.</t>
  </si>
  <si>
    <t>El RF RF-RES-008 debe observar interoperabilidad dentro del módulo Reservaciones y Lista de Espera y validarse junto con el criterio de aceptación del RF/CU.</t>
  </si>
  <si>
    <t>El RF RF-RES-008 debe observar privacidad y minimización dentro del módulo Reservaciones y Lista de Espera y validarse junto con el criterio de aceptación del RF/CU.</t>
  </si>
  <si>
    <t>El RF RF-RES-008 debe observar api e integraciones dentro del módulo Reservaciones y Lista de Espera y validarse junto con el criterio de aceptación del RF/CU.</t>
  </si>
  <si>
    <t>El RF RF-RES-008 debe observar retención y archivo dentro del módulo Reservaciones y Lista de Espera y validarse junto con el criterio de aceptación del RF/CU.</t>
  </si>
  <si>
    <t>El RF RF-RES-008 debe observar segregación de datos multi-sucursal dentro del módulo Reservaciones y Lista de Espera y validarse junto con el criterio de aceptación del RF/CU.</t>
  </si>
  <si>
    <t>El RF RF-DEL-009 debe observar seguridad dentro del módulo Delivery, Pedidos Online y Repartidores y validarse junto con el criterio de aceptación del RF/CU.</t>
  </si>
  <si>
    <t>El RF RF-DEL-009 debe observar interoperabilidad dentro del módulo Delivery, Pedidos Online y Repartidores y validarse junto con el criterio de aceptación del RF/CU.</t>
  </si>
  <si>
    <t>El RF RF-DEL-009 debe observar privacidad y minimización dentro del módulo Delivery, Pedidos Online y Repartidores y validarse junto con el criterio de aceptación del RF/CU.</t>
  </si>
  <si>
    <t>El RF RF-DEL-009 debe observar api e integraciones dentro del módulo Delivery, Pedidos Online y Repartidores y validarse junto con el criterio de aceptación del RF/CU.</t>
  </si>
  <si>
    <t>El RF RF-DEL-009 debe observar retención y archivo dentro del módulo Delivery, Pedidos Online y Repartidores y validarse junto con el criterio de aceptación del RF/CU.</t>
  </si>
  <si>
    <t>El RF RF-DEL-009 debe observar segregación de datos multi-sucursal dentro del módulo Delivery, Pedidos Online y Repartidores y validarse junto con el criterio de aceptación del RF/CU.</t>
  </si>
  <si>
    <t>El RF RF-CRM-009 debe observar seguridad dentro del módulo Fidelización, CRM y Marketing y validarse junto con el criterio de aceptación del RF/CU.</t>
  </si>
  <si>
    <t>El RF RF-CRM-009 debe observar interoperabilidad dentro del módulo Fidelización, CRM y Marketing y validarse junto con el criterio de aceptación del RF/CU.</t>
  </si>
  <si>
    <t>El RF RF-CRM-009 debe observar privacidad y minimización dentro del módulo Fidelización, CRM y Marketing y validarse junto con el criterio de aceptación del RF/CU.</t>
  </si>
  <si>
    <t>El RF RF-CRM-009 debe observar api e integraciones dentro del módulo Fidelización, CRM y Marketing y validarse junto con el criterio de aceptación del RF/CU.</t>
  </si>
  <si>
    <t>El RF RF-CRM-009 debe observar retención y archivo dentro del módulo Fidelización, CRM y Marketing y validarse junto con el criterio de aceptación del RF/CU.</t>
  </si>
  <si>
    <t>El RF RF-CRM-009 debe observar segregación de datos multi-sucursal dentro del módulo Fidelización, CRM y Marketing y validarse junto con el criterio de aceptación del RF/CU.</t>
  </si>
  <si>
    <t>El RF RF-CFG-001 debe observar seguridad dentro del módulo Configuración, Sucursales e Integraciones y validarse junto con el criterio de aceptación del RF/CU.</t>
  </si>
  <si>
    <t>El RF RF-CFG-001 debe observar auditabilidad dentro del módulo Configuración, Sucursales e Integraciones y validarse junto con el criterio de aceptación del RF/CU.</t>
  </si>
  <si>
    <t>El RF RF-CFG-001 debe observar observabilidad dentro del módulo Configuración, Sucursales e Integraciones y validarse junto con el criterio de aceptación del RF/CU.</t>
  </si>
  <si>
    <t>El RF RF-CFG-001 debe observar localización y precisión monetaria dentro del módulo Configuración, Sucursales e Integraciones y validarse junto con el criterio de aceptación del RF/CU.</t>
  </si>
  <si>
    <t>El RF RF-CFG-001 debe observar retención y archivo dentro del módulo Configuración, Sucursales e Integraciones y validarse junto con el criterio de aceptación del RF/CU.</t>
  </si>
  <si>
    <t>El RF RF-CFG-001 debe observar segregación de datos multi-sucursal dentro del módulo Configuración, Sucursales e Integraciones y validarse junto con el criterio de aceptación del RF/CU.</t>
  </si>
  <si>
    <t>El RF RF-CFG-002 debe observar seguridad dentro del módulo Configuración, Sucursales e Integraciones y validarse junto con el criterio de aceptación del RF/CU.</t>
  </si>
  <si>
    <t>El RF RF-CFG-002 debe observar auditabilidad dentro del módulo Configuración, Sucursales e Integraciones y validarse junto con el criterio de aceptación del RF/CU.</t>
  </si>
  <si>
    <t>El RF RF-CFG-002 debe observar observabilidad dentro del módulo Configuración, Sucursales e Integraciones y validarse junto con el criterio de aceptación del RF/CU.</t>
  </si>
  <si>
    <t>El RF RF-CFG-002 debe observar localización y precisión monetaria dentro del módulo Configuración, Sucursales e Integraciones y validarse junto con el criterio de aceptación del RF/CU.</t>
  </si>
  <si>
    <t>El RF RF-CFG-002 debe observar retención y archivo dentro del módulo Configuración, Sucursales e Integraciones y validarse junto con el criterio de aceptación del RF/CU.</t>
  </si>
  <si>
    <t>El RF RF-CFG-002 debe observar segregación de datos multi-sucursal dentro del módulo Configuración, Sucursales e Integraciones y validarse junto con el criterio de aceptación del RF/CU.</t>
  </si>
  <si>
    <t>El RF RF-CFG-003 debe observar seguridad dentro del módulo Configuración, Sucursales e Integraciones y validarse junto con el criterio de aceptación del RF/CU.</t>
  </si>
  <si>
    <t>El RF RF-CFG-003 debe observar auditabilidad dentro del módulo Configuración, Sucursales e Integraciones y validarse junto con el criterio de aceptación del RF/CU.</t>
  </si>
  <si>
    <t>El RF RF-CFG-003 debe observar observabilidad dentro del módulo Configuración, Sucursales e Integraciones y validarse junto con el criterio de aceptación del RF/CU.</t>
  </si>
  <si>
    <t>El RF RF-CFG-003 debe observar localización y precisión monetaria dentro del módulo Configuración, Sucursales e Integraciones y validarse junto con el criterio de aceptación del RF/CU.</t>
  </si>
  <si>
    <t>El RF RF-CFG-003 debe observar retención y archivo dentro del módulo Configuración, Sucursales e Integraciones y validarse junto con el criterio de aceptación del RF/CU.</t>
  </si>
  <si>
    <t>El RF RF-CFG-003 debe observar segregación de datos multi-sucursal dentro del módulo Configuración, Sucursales e Integraciones y validarse junto con el criterio de aceptación del RF/CU.</t>
  </si>
  <si>
    <t>El RF RF-CFG-004 debe observar seguridad dentro del módulo Configuración, Sucursales e Integraciones y validarse junto con el criterio de aceptación del RF/CU.</t>
  </si>
  <si>
    <t>El RF RF-CFG-004 debe observar auditabilidad dentro del módulo Configuración, Sucursales e Integraciones y validarse junto con el criterio de aceptación del RF/CU.</t>
  </si>
  <si>
    <t>El RF RF-CFG-004 debe observar observabilidad dentro del módulo Configuración, Sucursales e Integraciones y validarse junto con el criterio de aceptación del RF/CU.</t>
  </si>
  <si>
    <t>El RF RF-CFG-004 debe observar localización y precisión monetaria dentro del módulo Configuración, Sucursales e Integraciones y validarse junto con el criterio de aceptación del RF/CU.</t>
  </si>
  <si>
    <t>El RF RF-CFG-004 debe observar retención y archivo dentro del módulo Configuración, Sucursales e Integraciones y validarse junto con el criterio de aceptación del RF/CU.</t>
  </si>
  <si>
    <t>El RF RF-CFG-004 debe observar segregación de datos multi-sucursal dentro del módulo Configuración, Sucursales e Integraciones y validarse junto con el criterio de aceptación del RF/CU.</t>
  </si>
  <si>
    <t>TRAZABILIDAD — REQUERIMIENTOS FUNCIONALES ↔ CASOS DE PRUEBA</t>
  </si>
  <si>
    <t>131 Casos de Prueba base planificados · Criterios derivados del SRS/CU v2.0</t>
  </si>
  <si>
    <t>ID Caso de Prueba</t>
  </si>
  <si>
    <t>Nombre del Caso de Prueba</t>
  </si>
  <si>
    <t>Tipo de Prueba</t>
  </si>
  <si>
    <t>Precondición</t>
  </si>
  <si>
    <t>Datos de Entrada</t>
  </si>
  <si>
    <t>Resultado Esperado</t>
  </si>
  <si>
    <t>Resultado Obtenido</t>
  </si>
  <si>
    <t>Prioridad</t>
  </si>
  <si>
    <t>Responsable QA</t>
  </si>
  <si>
    <t>CP-AUTH-001-BASICO</t>
  </si>
  <si>
    <t>Validar — Inicio de sesión con usuario y contraseña</t>
  </si>
  <si>
    <t>Seguridad / Funcional</t>
  </si>
  <si>
    <t>Cuenta activa/habilitada; servicio de autenticación disponible.</t>
  </si>
  <si>
    <t>Usuario/correo, contraseña</t>
  </si>
  <si>
    <t>Un usuario con credenciales válidas accede al sistema; con credenciales inválidas se muestra error sin revelar cuál campo falló.</t>
  </si>
  <si>
    <t>Pendiente de ejecución</t>
  </si>
  <si>
    <t>Por asignar</t>
  </si>
  <si>
    <t>CP base de trazabilidad. Desglosar casos positivos, negativos y de borde en el plan de pruebas.</t>
  </si>
  <si>
    <t>CP-AUTH-002-BASICO</t>
  </si>
  <si>
    <t>Validar — Recuperación de contraseña vía correo</t>
  </si>
  <si>
    <t>Cuenta registrada y acceso al correo/canal de recuperación aprobado; no requiere sesión iniciada.</t>
  </si>
  <si>
    <t>Correo electrónico registrado</t>
  </si>
  <si>
    <t>El usuario puede definir una nueva contraseña siguiendo el enlace recibido antes de su expiración.</t>
  </si>
  <si>
    <t>CP-AUTH-003-PREMIUM</t>
  </si>
  <si>
    <t>Validar — Autenticación de dos factores (2FA)</t>
  </si>
  <si>
    <t>Actor autenticado con permisos del módulo AUTH. Datos maestros y configuraciones dependientes vigentes.</t>
  </si>
  <si>
    <t>Código OTP de 6 dígitos</t>
  </si>
  <si>
    <t>El acceso solo se concede tras validar correctamente usuario/contraseña y el código de segundo factor.</t>
  </si>
  <si>
    <t>CP-AUTH-004-PREMIUM</t>
  </si>
  <si>
    <t>Validar — Códigos de respaldo de un solo uso</t>
  </si>
  <si>
    <t>Solicitud de generación</t>
  </si>
  <si>
    <t>Un código de respaldo usado no puede reutilizarse en un segundo intento.</t>
  </si>
  <si>
    <t>CP-AUTH-005-PREMIUM</t>
  </si>
  <si>
    <t>Validar — Bitácora de auditoría de inicios de sesión</t>
  </si>
  <si>
    <t>N/A (automático)</t>
  </si>
  <si>
    <t>El administrador puede consultar el historial de accesos de cualquier usuario.</t>
  </si>
  <si>
    <t>CP-AUTH-006-GOLD</t>
  </si>
  <si>
    <t>Validar — Autenticación biométrica (WebAuthn/FIDO2)</t>
  </si>
  <si>
    <t>Biometría del dispositivo</t>
  </si>
  <si>
    <t>El usuario accede exitosamente usando huella o rostro en un dispositivo compatible sin usar contraseña.</t>
  </si>
  <si>
    <t>CP-AUTH-007-GOLD</t>
  </si>
  <si>
    <t>Validar — Soporte de llave de seguridad física (Hardware Key)</t>
  </si>
  <si>
    <t>Llave física conectada</t>
  </si>
  <si>
    <t>El sistema reconoce y valida la llave física registrada previamente.</t>
  </si>
  <si>
    <t>CP-AUTH-008-GOLD</t>
  </si>
  <si>
    <t>Validar — Gestión de dispositivos confiables</t>
  </si>
  <si>
    <t>Selección de dispositivo a revocar</t>
  </si>
  <si>
    <t>Al revocar un dispositivo, este pierde el acceso simplificado inmediatamente.</t>
  </si>
  <si>
    <t>CP-AUTH-009</t>
  </si>
  <si>
    <t>Validar — Expiración de sesión por inactividad</t>
  </si>
  <si>
    <t>Existe un evento/transacción válido que dispara el proceso.</t>
  </si>
  <si>
    <t>Tras el tiempo definido sin actividad, el sistema solicita reautenticación.</t>
  </si>
  <si>
    <t>CP-REG-001-BASICO</t>
  </si>
  <si>
    <t>Validar — Registro de datos personales del empleado</t>
  </si>
  <si>
    <t>Funcional / Seguridad de datos</t>
  </si>
  <si>
    <t>Actor autenticado con permisos del módulo REG. Sucursal/canal operativo activo cuando aplica.</t>
  </si>
  <si>
    <t>Datos personales del empleado</t>
  </si>
  <si>
    <t>Un nuevo empleado queda disponible en el sistema con todos los campos obligatorios completos.</t>
  </si>
  <si>
    <t>CP-REG-002-BASICO</t>
  </si>
  <si>
    <t>Validar — Control de acceso administrativo único</t>
  </si>
  <si>
    <t>Actor autenticado con permisos del módulo REG. Sucursal/canal operativo activo cuando aplica. Datos maestros y configuraciones dependientes vigentes.</t>
  </si>
  <si>
    <t>N/A</t>
  </si>
  <si>
    <t>Usuarios no administradores no pueden acceder al módulo de personal.</t>
  </si>
  <si>
    <t>CP-REG-003-PREMIUM</t>
  </si>
  <si>
    <t>Validar — Gestión documental de empleados</t>
  </si>
  <si>
    <t>Archivos de documentos del empleado</t>
  </si>
  <si>
    <t>El expediente del empleado muestra el estado (cargado/pendiente/vencido) de cada documento requerido.</t>
  </si>
  <si>
    <t>CP-REG-004-PREMIUM</t>
  </si>
  <si>
    <t>Validar — Registro de capacitaciones</t>
  </si>
  <si>
    <t>Nombre de curso, fecha, empleado</t>
  </si>
  <si>
    <t>El historial de capacitaciones de un empleado es consultable desde su expediente.</t>
  </si>
  <si>
    <t>CP-REG-005-PREMIUM</t>
  </si>
  <si>
    <t>Validar — Integración con reloj biométrico de asistencia</t>
  </si>
  <si>
    <t>Marcaciones del reloj biométrico</t>
  </si>
  <si>
    <t>Las marcaciones del reloj biométrico se reflejan automáticamente en el módulo de asistencia.</t>
  </si>
  <si>
    <t>CP-MESA-001</t>
  </si>
  <si>
    <t>Validar — Mapa visual interactivo del salón</t>
  </si>
  <si>
    <t>Funcional</t>
  </si>
  <si>
    <t>Actor autenticado con permisos del módulo MESA. Sucursal/canal operativo activo cuando aplica.</t>
  </si>
  <si>
    <t>El usuario puede visualizar y navegar el plano completo del restaurante desde una tablet o PC.</t>
  </si>
  <si>
    <t>CP-MESA-002</t>
  </si>
  <si>
    <t>Validar — Gestión de estados de mesa</t>
  </si>
  <si>
    <t>Funcional / Rendimiento</t>
  </si>
  <si>
    <t>Actor autenticado con permisos del módulo MESA. Sucursal/canal operativo activo cuando aplica. Datos maestros y configuraciones dependientes vigentes.</t>
  </si>
  <si>
    <t>Cambio de estado de mesa</t>
  </si>
  <si>
    <t>Al cambiar el estado de una mesa, todos los dispositivos conectados reflejan el cambio en menos de 5 segundos.</t>
  </si>
  <si>
    <t>CP-MESA-003</t>
  </si>
  <si>
    <t>Validar — Asignación de mesero a mesa</t>
  </si>
  <si>
    <t>Mesa, mesero seleccionado</t>
  </si>
  <si>
    <t>La mesa muestra el nombre del mesero asignado y las órdenes se enrutan a dicho mesero.</t>
  </si>
  <si>
    <t>CP-MESA-004</t>
  </si>
  <si>
    <t>Validar — Unión y división de mesas</t>
  </si>
  <si>
    <t>Selección de mesas a unir/dividir</t>
  </si>
  <si>
    <t>El mapa refleja visualmente las mesas unidas o divididas y la comanda se ajusta correctamente.</t>
  </si>
  <si>
    <t>CP-MESA-005</t>
  </si>
  <si>
    <t>Validar — Transferencia de comanda entre mesas</t>
  </si>
  <si>
    <t>Mesa origen, mesa destino</t>
  </si>
  <si>
    <t>La comanda aparece completa en la mesa destino y la mesa origen queda libre.</t>
  </si>
  <si>
    <t>CP-MESA-006</t>
  </si>
  <si>
    <t>Validar — Solicitud de pre-cuenta</t>
  </si>
  <si>
    <t>Solicitud de pre-cuenta de la mesa</t>
  </si>
  <si>
    <t>La caja recibe la pre-cuenta con el detalle correcto de consumo de la mesa.</t>
  </si>
  <si>
    <t>CP-MESA-007</t>
  </si>
  <si>
    <t>Validar — Monitor de rotación y ocupación en tiempo real</t>
  </si>
  <si>
    <t>N/A (cálculo automático)</t>
  </si>
  <si>
    <t>El dashboard muestra el % de ocupación actualizado y el tiempo de rotación por zona (Salón, Terraza, VIP).</t>
  </si>
  <si>
    <t>CP-MESA-008</t>
  </si>
  <si>
    <t>Validar — Alertas proactivas de demora por mesa</t>
  </si>
  <si>
    <t>Existe un evento/transacción válido que dispara el proceso. Sucursal/canal operativo activo cuando aplica. Datos maestros y configuraciones dependientes vigentes.</t>
  </si>
  <si>
    <t>Una mesa con demora excesiva se marca visualmente y genera notificación al personal correspondiente.</t>
  </si>
  <si>
    <t>CP-MESA-009</t>
  </si>
  <si>
    <t>Validar — Configuración de capacidad y zonas</t>
  </si>
  <si>
    <t>Capacidad por mesa, definición de zona</t>
  </si>
  <si>
    <t>Los cambios de capacidad/zona se reflejan inmediatamente en el mapa del salón.</t>
  </si>
  <si>
    <t>CP-ORD-001</t>
  </si>
  <si>
    <t>Validar — Selección de categorías de productos</t>
  </si>
  <si>
    <t>Actor autenticado con permisos del módulo ORD. Sucursal/canal operativo activo cuando aplica. Datos maestros y configuraciones dependientes vigentes.</t>
  </si>
  <si>
    <t>Selección de categoría</t>
  </si>
  <si>
    <t>El mesero visualiza los productos disponibles al seleccionar una categoría.</t>
  </si>
  <si>
    <t>CP-ORD-002</t>
  </si>
  <si>
    <t>Validar — Selección y personalización de artículos</t>
  </si>
  <si>
    <t>Producto, cantidad, modificadores</t>
  </si>
  <si>
    <t>El producto seleccionado aparece en la revisión de orden con su cantidad y precio correcto.</t>
  </si>
  <si>
    <t>CP-ORD-003</t>
  </si>
  <si>
    <t>Validar — Agregar productos adicionales a orden existente</t>
  </si>
  <si>
    <t>Productos adicionales, orden existente</t>
  </si>
  <si>
    <t>Cocina recibe los productos adicionales diferenciados de la orden original.</t>
  </si>
  <si>
    <t>CP-ORD-004</t>
  </si>
  <si>
    <t>Validar — Revisión de orden actual</t>
  </si>
  <si>
    <t>El mesero puede revisar y corregir la orden antes de confirmarla.</t>
  </si>
  <si>
    <t>CP-ORD-005</t>
  </si>
  <si>
    <t>Validar — Envío de orden a pantalla de cocina</t>
  </si>
  <si>
    <t>Orden confirmada</t>
  </si>
  <si>
    <t>La orden aparece en la pantalla de cocina en menos de 5 segundos tras la confirmación.</t>
  </si>
  <si>
    <t>CP-ORD-006</t>
  </si>
  <si>
    <t>Validar — Reportes y analítica de órdenes por mesero</t>
  </si>
  <si>
    <t>El gerente puede consultar el detalle de órdenes tomadas por cualquier mesero en un rango de fechas.</t>
  </si>
  <si>
    <t>CP-COC-001</t>
  </si>
  <si>
    <t>Validar — Vista por estación de cocina</t>
  </si>
  <si>
    <t>Actor autenticado con permisos del módulo COC. Sucursal/canal operativo activo cuando aplica. Datos maestros y configuraciones dependientes vigentes.</t>
  </si>
  <si>
    <t>Cada estación de cocina solo ve los productos que debe preparar.</t>
  </si>
  <si>
    <t>CP-COC-002</t>
  </si>
  <si>
    <t>Validar — Gestión de tickets digitales con temporizador</t>
  </si>
  <si>
    <t>N/A (automático desde hora de creación del ticket)</t>
  </si>
  <si>
    <t>El color del ticket cambia automáticamente según el tiempo transcurrido desde su creación.</t>
  </si>
  <si>
    <t>CP-COC-003</t>
  </si>
  <si>
    <t>Validar — Visualización de modificadores del producto</t>
  </si>
  <si>
    <t>El cocinero puede ver claramente cualquier personalización del producto sin necesidad de preguntar al mesero.</t>
  </si>
  <si>
    <t>CP-COC-004</t>
  </si>
  <si>
    <t>Validar — Enrutamiento inteligente de pedidos por categoría</t>
  </si>
  <si>
    <t>Orden con productos</t>
  </si>
  <si>
    <t>Un producto de bebida se enruta a entrega inmediata mientras que un plato complejo se enruta a cocina.</t>
  </si>
  <si>
    <t>CP-COC-005</t>
  </si>
  <si>
    <t>Validar — Pantalla de expedidor / pase central</t>
  </si>
  <si>
    <t>Confirmaciones de estación</t>
  </si>
  <si>
    <t>El expedidor visualiza el estado consolidado de todos los ítems de la orden en un solo lugar.</t>
  </si>
  <si>
    <t>CP-COC-006</t>
  </si>
  <si>
    <t>Validar — Notificación al mesero de orden lista</t>
  </si>
  <si>
    <t>El mesero recibe la notificación en menos de 5 segundos de marcada la orden como lista.</t>
  </si>
  <si>
    <t>CP-COC-007</t>
  </si>
  <si>
    <t>Validar — Detección de cuellos de botella y métricas de eficiencia</t>
  </si>
  <si>
    <t>El gerente puede identificar qué estación presenta mayor tiempo de preparación en un turno dado.</t>
  </si>
  <si>
    <t>CP-ROUT-001</t>
  </si>
  <si>
    <t>Validar — Recepción centralizada de órdenes</t>
  </si>
  <si>
    <t>Existe un evento/transacción válido que dispara el proceso. Sucursal/canal operativo activo cuando aplica.</t>
  </si>
  <si>
    <t>Orden generada desde cualquier canal</t>
  </si>
  <si>
    <t>Toda orden generada, sin importar el canal de origen, llega al servidor central para su procesamiento.</t>
  </si>
  <si>
    <t>CP-ROUT-002</t>
  </si>
  <si>
    <t>Validar — Enrutamiento automático por tipo de producto</t>
  </si>
  <si>
    <t>Detalle de productos de la orden</t>
  </si>
  <si>
    <t>Cada producto de una orden mixta llega a la estación correcta sin intervención manual.</t>
  </si>
  <si>
    <t>CP-ROUT-003</t>
  </si>
  <si>
    <t>Validar — Estación de compra en caja con destino manual</t>
  </si>
  <si>
    <t>Actor autenticado con permisos del módulo ROUT. Sucursal/canal operativo activo cuando aplica. Datos maestros y configuraciones dependientes vigentes.</t>
  </si>
  <si>
    <t>Producto, área de destino seleccionada</t>
  </si>
  <si>
    <t>El cajero puede reasignar manualmente el destino de un producto vendido en caja.</t>
  </si>
  <si>
    <t>CP-ROUT-004</t>
  </si>
  <si>
    <t>Validar — Generación de ticket detallado de pedido</t>
  </si>
  <si>
    <t>El ticket generado refleja correctamente el subtotal, impuestos (IVA) y total de la orden.</t>
  </si>
  <si>
    <t>CP-PAG-001</t>
  </si>
  <si>
    <t>Validar — Integración de hardware de pago</t>
  </si>
  <si>
    <t>Integración / Funcional</t>
  </si>
  <si>
    <t>Actor autenticado con permisos del módulo PAG. Sucursal/canal operativo activo cuando aplica.</t>
  </si>
  <si>
    <t>El sistema reconoce e interactúa correctamente con cada dispositivo de hardware conectado.</t>
  </si>
  <si>
    <t>CP-PAG-002</t>
  </si>
  <si>
    <t>Validar — Pantalla de cierre de pedido con métodos de pago</t>
  </si>
  <si>
    <t>Actor autenticado con permisos del módulo PAG. Sucursal/canal operativo activo cuando aplica. Datos maestros y configuraciones dependientes vigentes.</t>
  </si>
  <si>
    <t>Método de pago, monto</t>
  </si>
  <si>
    <t>El pedido se marca como pagado y se imprime el ticket correspondiente tras confirmar el pago.</t>
  </si>
  <si>
    <t>CP-PAG-003</t>
  </si>
  <si>
    <t>Validar — Cálculo y registro de propina</t>
  </si>
  <si>
    <t>Porcentaje o monto de propina</t>
  </si>
  <si>
    <t>El sistema calcula correctamente el monto de propina según el porcentaje o valor personalizado seleccionado.</t>
  </si>
  <si>
    <t>CP-PAG-004</t>
  </si>
  <si>
    <t>Validar — División de cuenta (Split Check)</t>
  </si>
  <si>
    <t>Número de divisiones, monto y método por persona</t>
  </si>
  <si>
    <t>La suma de los pagos individuales cuadra exactamente con el total de la cuenta original.</t>
  </si>
  <si>
    <t>CP-PAG-005</t>
  </si>
  <si>
    <t>Validar — Cierre de turno y arqueo de caja</t>
  </si>
  <si>
    <t>Montos contados por método de pago</t>
  </si>
  <si>
    <t>El sistema calcula automáticamente la diferencia entre lo esperado y lo reportado por el cajero.</t>
  </si>
  <si>
    <t>CP-PAG-006</t>
  </si>
  <si>
    <t>Validar — Gestión de facturación electrónica (FEL) y reportes tributarios</t>
  </si>
  <si>
    <t>Datos del pedido y del cliente (NIT/CF)</t>
  </si>
  <si>
    <t>La factura generada es aceptada y validada por el sistema de la SAT.</t>
  </si>
  <si>
    <t>CP-PAG-007</t>
  </si>
  <si>
    <t>Validar — Dashboard de ventas por método y propina por mesero</t>
  </si>
  <si>
    <t>El gerente puede visualizar las ventas del día segmentadas por método de pago.</t>
  </si>
  <si>
    <t>CP-PAG-008</t>
  </si>
  <si>
    <t>Validar — Registro contable automático</t>
  </si>
  <si>
    <t>Cada pago confirmado genera su asiento contable correspondiente sin retraso.</t>
  </si>
  <si>
    <t>CP-INV-001</t>
  </si>
  <si>
    <t>Validar — Gestión de ingredientes y recetas (BOM)</t>
  </si>
  <si>
    <t>Funcional / Integridad de datos</t>
  </si>
  <si>
    <t>Actor autenticado con permisos del módulo INV. Sucursal/canal operativo activo cuando aplica.</t>
  </si>
  <si>
    <t>Platillo, lista de ingredientes y cantidades</t>
  </si>
  <si>
    <t>El sistema permite crear y editar la receta de un platillo con sus ingredientes y cantidades.</t>
  </si>
  <si>
    <t>CP-INV-002</t>
  </si>
  <si>
    <t>Validar — Descuento automático de stock por venta</t>
  </si>
  <si>
    <t>Venta de platillo confirmada</t>
  </si>
  <si>
    <t>Al vender una unidad de un platillo, el stock de cada ingrediente de su receta disminuye correctamente.</t>
  </si>
  <si>
    <t>CP-INV-003</t>
  </si>
  <si>
    <t>Validar — Registro de entradas de inventario</t>
  </si>
  <si>
    <t>Insumo, cantidad, proveedor, factura</t>
  </si>
  <si>
    <t>Una compra registrada incrementa correctamente el stock del insumo correspondiente.</t>
  </si>
  <si>
    <t>CP-INV-004</t>
  </si>
  <si>
    <t>Validar — Registro de salidas por merma o caducidad</t>
  </si>
  <si>
    <t>Actor autenticado con permisos del módulo INV. Sucursal/canal operativo activo cuando aplica. Datos maestros y configuraciones dependientes vigentes.</t>
  </si>
  <si>
    <t>Insumo, cantidad, motivo (merma/caducidad)</t>
  </si>
  <si>
    <t>La salida por merma queda registrada con su motivo y reduce el stock disponible.</t>
  </si>
  <si>
    <t>CP-INV-005</t>
  </si>
  <si>
    <t>Validar — Kardex de movimientos de inventario</t>
  </si>
  <si>
    <t>El administrador puede consultar todos los movimientos de un insumo en un rango de fechas.</t>
  </si>
  <si>
    <t>CP-INV-006</t>
  </si>
  <si>
    <t>Validar — Alertas de stock mínimo</t>
  </si>
  <si>
    <t>Un insumo por debajo del umbral mínimo se marca visualmente en rojo y genera una alerta.</t>
  </si>
  <si>
    <t>CP-INV-007</t>
  </si>
  <si>
    <t>Validar — Reporte de costo, precio y utilidad por platillo</t>
  </si>
  <si>
    <t>El reporte muestra correctamente costo, precio de venta y utilidad de cada platillo activo.</t>
  </si>
  <si>
    <t>CP-RES-001</t>
  </si>
  <si>
    <t>Validar — Calendario de reservaciones</t>
  </si>
  <si>
    <t>Actor autenticado con permisos del módulo RES. Sucursal/canal operativo activo cuando aplica.</t>
  </si>
  <si>
    <t>El usuario puede alternar entre vista diaria, semanal y mensual sin perder información.</t>
  </si>
  <si>
    <t>CP-RES-002</t>
  </si>
  <si>
    <t>Validar — Configuración de capacidad y depósito por turno</t>
  </si>
  <si>
    <t>Actor autenticado con permisos del módulo RES. Sucursal/canal operativo activo cuando aplica. Datos maestros y configuraciones dependientes vigentes.</t>
  </si>
  <si>
    <t>Máx. comensales, monto de depósito</t>
  </si>
  <si>
    <t>Al configurar un turno, las reservaciones respetan el máximo de comensales definido.</t>
  </si>
  <si>
    <t>CP-RES-003</t>
  </si>
  <si>
    <t>Validar — Registro de nueva reservación</t>
  </si>
  <si>
    <t>Nombre, pax, teléfono, notas</t>
  </si>
  <si>
    <t>La reservación queda visible en el calendario con su estado correspondiente.</t>
  </si>
  <si>
    <t>CP-RES-004</t>
  </si>
  <si>
    <t>Validar — Lista de espera inteligente para walk-ins</t>
  </si>
  <si>
    <t>Nombre, pax del cliente en espera</t>
  </si>
  <si>
    <t>El sistema muestra un tiempo estimado en minutos, lo recalcula cuando cambia la ocupación o la cola y registra la hora de actualización.</t>
  </si>
  <si>
    <t>CP-RES-005</t>
  </si>
  <si>
    <t>Validar — Notificación al cliente vía WhatsApp/SMS</t>
  </si>
  <si>
    <t>El cliente recibe la notificación de su mesa disponible o recordatorio de reservación.</t>
  </si>
  <si>
    <t>CP-RES-006</t>
  </si>
  <si>
    <t>Validar — Sincronización de reservaciones con el mapa del salón</t>
  </si>
  <si>
    <t>La mesa cambia automáticamente a estado "Reservada" en el horario configurado antes de la reservación.</t>
  </si>
  <si>
    <t>CP-RES-007</t>
  </si>
  <si>
    <t>Validar — Perfil de cliente integrado con CRM</t>
  </si>
  <si>
    <t>La hostess puede ver el historial de no-show y alergias del cliente al registrar una nueva reservación.</t>
  </si>
  <si>
    <t>CP-DEL-001</t>
  </si>
  <si>
    <t>Validar — Canal de captura de pedidos omnicanal</t>
  </si>
  <si>
    <t>Canal público o sesión segura habilitada para el flujo. Sucursal/canal operativo activo cuando aplica.</t>
  </si>
  <si>
    <t>Datos del cliente, productos seleccionados</t>
  </si>
  <si>
    <t>Un pedido realizado desde la tienda web queda centralizado en el sistema junto a los demás canales.</t>
  </si>
  <si>
    <t>CP-DEL-002</t>
  </si>
  <si>
    <t>Validar — Bot de pedidos por WhatsApp</t>
  </si>
  <si>
    <t>Canal público o sesión segura habilitada para el flujo. Sucursal/canal operativo activo cuando aplica. Datos maestros y configuraciones dependientes vigentes.</t>
  </si>
  <si>
    <t>Mensajes del cliente en WhatsApp</t>
  </si>
  <si>
    <t>El cliente puede completar un pedido básico conversando con el bot de WhatsApp.</t>
  </si>
  <si>
    <t>CP-DEL-003</t>
  </si>
  <si>
    <t>Validar — Integración con agregadores externos</t>
  </si>
  <si>
    <t>Pedido recibido desde el agregador</t>
  </si>
  <si>
    <t>Un pedido realizado en Uber Eats o PedidosYa aparece automáticamente en el módulo de pedidos pendientes.</t>
  </si>
  <si>
    <t>CP-DEL-004</t>
  </si>
  <si>
    <t>Validar — Despacho y asignación de repartidores</t>
  </si>
  <si>
    <t>Actor autenticado con permisos del módulo DEL. Sucursal/canal operativo activo cuando aplica. Datos maestros y configuraciones dependientes vigentes.</t>
  </si>
  <si>
    <t>Pedido, repartidor seleccionado</t>
  </si>
  <si>
    <t>Un pedido pendiente pasa a estado "Asignado" con el repartidor y tiempo estimado correspondiente.</t>
  </si>
  <si>
    <t>CP-DEL-005</t>
  </si>
  <si>
    <t>Validar — App de repartidor</t>
  </si>
  <si>
    <t>Confirmación de entrega, firma/foto</t>
  </si>
  <si>
    <t>El repartidor no puede cerrar una ruta sin adjuntar la evidencia de entrega requerida.</t>
  </si>
  <si>
    <t>CP-DEL-006</t>
  </si>
  <si>
    <t>Validar — Zonificación y mapa de repartidores con GPS</t>
  </si>
  <si>
    <t>N/A (GPS en tiempo real)</t>
  </si>
  <si>
    <t>El encargado puede visualizar la ubicación actual de cada repartidor activo en el mapa.</t>
  </si>
  <si>
    <t>CP-DEL-007</t>
  </si>
  <si>
    <t>Validar — Cierre de turno y arqueo de delivery</t>
  </si>
  <si>
    <t>Montos recaudados por repartidor</t>
  </si>
  <si>
    <t>El cierre de turno refleja correctamente el efectivo recaudado versus lo esperado.</t>
  </si>
  <si>
    <t>CP-DEL-008</t>
  </si>
  <si>
    <t>Validar — Dashboard de delivery</t>
  </si>
  <si>
    <t>El gerente puede identificar el canal con mayor tiempo de entrega en un período dado.</t>
  </si>
  <si>
    <t>CP-RRHH-001</t>
  </si>
  <si>
    <t>Validar — Planificador de turnos por roles</t>
  </si>
  <si>
    <t>Actor autenticado con permisos del módulo RRHH. Sucursal/canal operativo activo cuando aplica. Datos maestros y configuraciones dependientes vigentes.</t>
  </si>
  <si>
    <t>Empleado, rol, horario</t>
  </si>
  <si>
    <t>El planificador muestra los turnos asignados por rol para la semana seleccionada.</t>
  </si>
  <si>
    <t>CP-RRHH-002</t>
  </si>
  <si>
    <t>Validar — Intercambio de turnos con aprobación</t>
  </si>
  <si>
    <t>Turno propio, turno destino, empleado receptor</t>
  </si>
  <si>
    <t>El intercambio solicitado solo se refleja en el calendario tras la aprobación del gerente.</t>
  </si>
  <si>
    <t>CP-RRHH-003</t>
  </si>
  <si>
    <t>Validar — Control de asistencia y puntualidad biométrico</t>
  </si>
  <si>
    <t>Marcación biométrica</t>
  </si>
  <si>
    <t>Un ingreso tardío se marca visualmente (ej. "Retraso") en el reporte de asistencia.</t>
  </si>
  <si>
    <t>CP-RRHH-004</t>
  </si>
  <si>
    <t>Validar — Alerta de gerencia por calificación baja</t>
  </si>
  <si>
    <t>Una calificación por debajo del umbral configurado genera una alerta automática al gerente.</t>
  </si>
  <si>
    <t>CP-RRHH-005</t>
  </si>
  <si>
    <t>Validar — Motor de distribución de propinas (Tip Pool)</t>
  </si>
  <si>
    <t>Fondo total de propinas, horas/roles del personal</t>
  </si>
  <si>
    <t>La suma de las propinas distribuidas a cada empleado es igual al fondo total recaudado.</t>
  </si>
  <si>
    <t>CP-RRHH-006</t>
  </si>
  <si>
    <t>Validar — Billetera virtual de propinas</t>
  </si>
  <si>
    <t>Solicitud de retiro de saldo</t>
  </si>
  <si>
    <t>El empleado puede ver su saldo de propinas y confirmar un retiro con firma digital.</t>
  </si>
  <si>
    <t>CP-RRHH-007</t>
  </si>
  <si>
    <t>Validar — Liquidación operativa de turnos y propinas</t>
  </si>
  <si>
    <t>El reporte refleja correctamente propinas, entregas y ajustes operativos autorizados por empleado, sin constituir un cálculo completo de nómina.</t>
  </si>
  <si>
    <t>CP-RRHH-008</t>
  </si>
  <si>
    <t>Validar — Dashboard ejecutivo de RRHH</t>
  </si>
  <si>
    <t>El gerente puede comparar el rendimiento de distintos empleados en el mismo panel.</t>
  </si>
  <si>
    <t>CP-BI-001</t>
  </si>
  <si>
    <t>Validar — Matriz de ingeniería de menú</t>
  </si>
  <si>
    <t>Funcional / Analítica</t>
  </si>
  <si>
    <t>Actor autenticado con permisos del módulo BI. Sucursal/canal operativo activo cuando aplica. Datos maestros y configuraciones dependientes vigentes.</t>
  </si>
  <si>
    <t>N/A (cálculo automático desde ventas y costos)</t>
  </si>
  <si>
    <t>Cada platillo activo se ubica correctamente en su cuadrante según sus datos de venta y margen.</t>
  </si>
  <si>
    <t>CP-BI-002</t>
  </si>
  <si>
    <t>Validar — Mapa de calor de horas pico</t>
  </si>
  <si>
    <t>Actor autenticado con permisos del módulo BI. Sucursal/canal operativo activo cuando aplica.</t>
  </si>
  <si>
    <t>El gerente puede identificar visualmente las horas y días de mayor demanda.</t>
  </si>
  <si>
    <t>CP-BI-003</t>
  </si>
  <si>
    <t>Validar — KPIs clave de operación</t>
  </si>
  <si>
    <t>Los KPIs mostrados coinciden con el cálculo esperado a partir de los datos de ventas y costos del período.</t>
  </si>
  <si>
    <t>CP-BI-004</t>
  </si>
  <si>
    <t>Validar — Registro de anulaciones (voids)</t>
  </si>
  <si>
    <t>Orden/producto a anular, motivo</t>
  </si>
  <si>
    <t>Toda anulación queda registrada en el reporte con su motivo y el responsable que la ejecutó.</t>
  </si>
  <si>
    <t>CP-BI-005</t>
  </si>
  <si>
    <t>Validar — Auditoría de cortesías y descuentos</t>
  </si>
  <si>
    <t>Descuento/cortesía aplicada</t>
  </si>
  <si>
    <t>Un descuento que excede el límite configurado genera una alerta y requiere aprobación.</t>
  </si>
  <si>
    <t>CP-BI-006</t>
  </si>
  <si>
    <t>Validar — Dashboard ejecutivo en vivo</t>
  </si>
  <si>
    <t>El dashboard se actualiza automáticamente reflejando las ventas del momento sin recargar la página.</t>
  </si>
  <si>
    <t>CP-BI-007</t>
  </si>
  <si>
    <t>Validar — Envío automático de cierre diario</t>
  </si>
  <si>
    <t>El destinatario configurado recibe el cierre diario automáticamente al finalizar el día de operación.</t>
  </si>
  <si>
    <t>CP-BI-008</t>
  </si>
  <si>
    <t>Validar — Exportación contable a Excel/CSV</t>
  </si>
  <si>
    <t>Rango de fechas, tipo de reporte</t>
  </si>
  <si>
    <t>El archivo exportado contiene la información completa y correctamente formateada del rango solicitado.</t>
  </si>
  <si>
    <t>CP-QR-001</t>
  </si>
  <si>
    <t>Validar — Escaneo de QR dinámico vinculado a mesa</t>
  </si>
  <si>
    <t>Canal público o sesión segura habilitada para el flujo. Datos maestros y configuraciones dependientes vigentes.</t>
  </si>
  <si>
    <t>Escaneo del QR con smartphone</t>
  </si>
  <si>
    <t>Al escanear el QR de la mesa 12, el cliente accede al menú digital vinculado a esa mesa.</t>
  </si>
  <si>
    <t>CP-QR-002</t>
  </si>
  <si>
    <t>Validar — Menú digital interactivo</t>
  </si>
  <si>
    <t>Búsqueda/filtro del cliente</t>
  </si>
  <si>
    <t>El cliente puede filtrar el menú por alérgenos o categoría y ver el detalle de cada producto.</t>
  </si>
  <si>
    <t>CP-QR-003</t>
  </si>
  <si>
    <t>Validar — Modos de pedido desde QR</t>
  </si>
  <si>
    <t>Selección de modo (pedido/llamar/cuenta)</t>
  </si>
  <si>
    <t>Al presionar "Llamar Mesero" se genera una notificación inmediata al personal de la mesa correspondiente.</t>
  </si>
  <si>
    <t>CP-QR-004</t>
  </si>
  <si>
    <t>Validar — Pago integrado en mesa</t>
  </si>
  <si>
    <t>Método de pago seleccionado, propina</t>
  </si>
  <si>
    <t>El cliente puede completar el pago de su cuenta desde su propio celular sin intervención del mesero.</t>
  </si>
  <si>
    <t>CP-QR-005</t>
  </si>
  <si>
    <t>Validar — Emisión de FEL instantánea desde QR</t>
  </si>
  <si>
    <t>Existe un evento/transacción válido que dispara el proceso. Datos maestros y configuraciones dependientes vigentes.</t>
  </si>
  <si>
    <t>El cliente recibe/visualiza su factura FEL inmediatamente después de confirmar el pago.</t>
  </si>
  <si>
    <t>CP-QR-006</t>
  </si>
  <si>
    <t>Validar — Panel backoffice de gestión de menú y precios</t>
  </si>
  <si>
    <t>Actor autenticado con permisos del módulo QR. Datos maestros y configuraciones dependientes vigentes.</t>
  </si>
  <si>
    <t>Artículo, precio, estado</t>
  </si>
  <si>
    <t>Un cambio de precio o disponibilidad se refleja inmediatamente en el menú digital de todos los clientes activos.</t>
  </si>
  <si>
    <t>CP-QR-007</t>
  </si>
  <si>
    <t>Validar — Gestión de banners promocionales</t>
  </si>
  <si>
    <t>Imagen/contenido del banner</t>
  </si>
  <si>
    <t>El banner configurado se muestra correctamente en el carrusel del menú digital.</t>
  </si>
  <si>
    <t>CP-CRM-001</t>
  </si>
  <si>
    <t>Validar — Perfil 360° del cliente</t>
  </si>
  <si>
    <t>Actor autenticado con permisos del módulo CRM.</t>
  </si>
  <si>
    <t>Datos personales del cliente</t>
  </si>
  <si>
    <t>La información capturada desde cualquier canal se refleja en un único perfil unificado del cliente.</t>
  </si>
  <si>
    <t>CP-CRM-002</t>
  </si>
  <si>
    <t>Validar — Historial de visitas y consumo</t>
  </si>
  <si>
    <t>El historial de un cliente muestra correctamente sus visitas anteriores con fecha y ticket promedio.</t>
  </si>
  <si>
    <t>CP-CRM-003</t>
  </si>
  <si>
    <t>Validar — Sistema de puntos/cashback configurable</t>
  </si>
  <si>
    <t>Monto de consumo, puntos a canjear</t>
  </si>
  <si>
    <t>Los puntos acumulados y canjeados se reflejan correctamente en el saldo del cliente.</t>
  </si>
  <si>
    <t>CP-CRM-004</t>
  </si>
  <si>
    <t>Validar — Niveles de membresía (tiers)</t>
  </si>
  <si>
    <t>Un cliente que supera el umbral de consumo definido asciende automáticamente al siguiente nivel.</t>
  </si>
  <si>
    <t>CP-CRM-005</t>
  </si>
  <si>
    <t>Validar — Billetera virtual del cliente</t>
  </si>
  <si>
    <t>Monto a recargar/transferir</t>
  </si>
  <si>
    <t>El cliente puede consultar su saldo de billetera y usarlo como método de pago.</t>
  </si>
  <si>
    <t>CP-CRM-006</t>
  </si>
  <si>
    <t>Validar — Disparadores automáticos de marketing</t>
  </si>
  <si>
    <t>Un cliente inactivo por el período configurado recibe automáticamente un cupón de reactivación.</t>
  </si>
  <si>
    <t>CP-CRM-007</t>
  </si>
  <si>
    <t>Validar — Segmentación de audiencias para campañas</t>
  </si>
  <si>
    <t>Actor autenticado con permisos del módulo CRM. Datos maestros y configuraciones dependientes vigentes.</t>
  </si>
  <si>
    <t>Criterios de segmentación</t>
  </si>
  <si>
    <t>El sistema genera correctamente el segmento de clientes que cumple con los criterios definidos.</t>
  </si>
  <si>
    <t>CP-CRM-008</t>
  </si>
  <si>
    <t>Validar — Dashboard de fidelización y CRM</t>
  </si>
  <si>
    <t>El gerente puede comparar la tasa de no-show entre distintos niveles de membresía en el mismo panel.</t>
  </si>
  <si>
    <t>CP-AUTH-010</t>
  </si>
  <si>
    <t>Validar — Gestión de roles y permisos (RBAC)</t>
  </si>
  <si>
    <t>Roles, permisos, sucursal</t>
  </si>
  <si>
    <t>Los permisos efectivos se aplican inmediatamente y un usuario sin permiso recibe acceso denegado sin exponer información.</t>
  </si>
  <si>
    <t>CP-AUTH-011</t>
  </si>
  <si>
    <t>Validar — Alta, baja, bloqueo y reactivación de usuarios</t>
  </si>
  <si>
    <t>Datos de usuario, estado</t>
  </si>
  <si>
    <t>Un usuario desactivado no puede iniciar sesión y sus transacciones históricas permanecen consultables.</t>
  </si>
  <si>
    <t>CP-AUTH-012</t>
  </si>
  <si>
    <t>Validar — Política configurable de contraseñas y sesiones</t>
  </si>
  <si>
    <t>Parámetros de seguridad</t>
  </si>
  <si>
    <t>Al modificar la política, los nuevos accesos y sesiones cumplen los parámetros aprobados sin afectar la trazabilidad.</t>
  </si>
  <si>
    <t>CP-CAT-001</t>
  </si>
  <si>
    <t>Validar — Catálogo maestro de productos y platillos</t>
  </si>
  <si>
    <t>Funcional / Validación</t>
  </si>
  <si>
    <t>Actor autenticado con permisos del módulo CAT. Sucursal/canal operativo activo cuando aplica. Datos maestros y configuraciones dependientes vigentes.</t>
  </si>
  <si>
    <t>Datos de producto</t>
  </si>
  <si>
    <t>Un producto activo queda disponible únicamente en los canales y sucursales configurados, con los mismos datos maestros.</t>
  </si>
  <si>
    <t>CP-CAT-002</t>
  </si>
  <si>
    <t>Validar — Modificadores y grupos de opciones</t>
  </si>
  <si>
    <t>Grupo, opciones, límites, recargos</t>
  </si>
  <si>
    <t>Al seleccionar un producto, el sistema impide confirmar combinaciones que incumplen mínimos/máximos y calcula el recargo correcto.</t>
  </si>
  <si>
    <t>CP-CAT-003</t>
  </si>
  <si>
    <t>Validar — Combos y promociones configurables</t>
  </si>
  <si>
    <t>Reglas promocionales</t>
  </si>
  <si>
    <t>La promoción se aplica solo cuando se cumplen todas las condiciones de vigencia y elegibilidad.</t>
  </si>
  <si>
    <t>CP-CAT-004</t>
  </si>
  <si>
    <t>Validar — Listas de precios por canal, sucursal y franja horaria</t>
  </si>
  <si>
    <t>Lista de precios, vigencia</t>
  </si>
  <si>
    <t>Para una misma venta, el precio seleccionado corresponde a la lista vigente de la sucursal y canal, dejando registro de la regla aplicada.</t>
  </si>
  <si>
    <t>CP-CAT-005</t>
  </si>
  <si>
    <t>Validar — Disponibilidad temporal y agotados en tiempo real</t>
  </si>
  <si>
    <t>Producto, estado de disponibilidad</t>
  </si>
  <si>
    <t>Un producto marcado como agotado deja de poder agregarse a nuevas órdenes en todos los canales en menos de 5 segundos.</t>
  </si>
  <si>
    <t>CP-CAT-006</t>
  </si>
  <si>
    <t>Validar — Alérgenos, etiquetas e información informativa del menú</t>
  </si>
  <si>
    <t>Etiquetas, alérgenos, advertencias</t>
  </si>
  <si>
    <t>El cliente y el personal visualizan las advertencias registradas antes de confirmar el pedido, sin que el sistema sustituya la validación humana de alergias.</t>
  </si>
  <si>
    <t>CP-PUR-001</t>
  </si>
  <si>
    <t>Validar — Maestro de proveedores</t>
  </si>
  <si>
    <t>Actor autenticado con permisos del módulo PUR. Sucursal/canal operativo activo cuando aplica. Datos maestros y configuraciones dependientes vigentes.</t>
  </si>
  <si>
    <t>Datos del proveedor</t>
  </si>
  <si>
    <t>Un proveedor inactivo no puede seleccionarse en nuevas órdenes de compra, pero conserva su historial.</t>
  </si>
  <si>
    <t>CP-PUR-002</t>
  </si>
  <si>
    <t>Validar — Solicitud y orden de compra</t>
  </si>
  <si>
    <t>Proveedor, artículos, cantidades, costos</t>
  </si>
  <si>
    <t>Una orden aprobada obtiene número único, total calculado y estado trazable desde creación hasta cierre.</t>
  </si>
  <si>
    <t>CP-PUR-003</t>
  </si>
  <si>
    <t>Validar — Flujo de aprobación de compras por monto</t>
  </si>
  <si>
    <t>Orden, reglas de aprobación</t>
  </si>
  <si>
    <t>Una orden que supera el umbral no puede emitirse al proveedor hasta recibir la aprobación requerida.</t>
  </si>
  <si>
    <t>CP-PUR-004</t>
  </si>
  <si>
    <t>Validar — Recepción parcial o total contra orden de compra</t>
  </si>
  <si>
    <t>Orden, cantidades recibidas</t>
  </si>
  <si>
    <t>La recepción incrementa inventario solo por cantidades aceptadas y mantiene abierta la orden si existen pendientes.</t>
  </si>
  <si>
    <t>CP-PUR-005</t>
  </si>
  <si>
    <t>Validar — Actualización de costo y conciliación documental</t>
  </si>
  <si>
    <t>Orden, recepción, documento proveedor</t>
  </si>
  <si>
    <t>Toda variación superior al umbral configurado queda marcada para revisión antes del cierre de la compra.</t>
  </si>
  <si>
    <t>CP-INV-008</t>
  </si>
  <si>
    <t>Validar — Conteo físico y conciliación de inventario</t>
  </si>
  <si>
    <t>Conteo físico</t>
  </si>
  <si>
    <t>Al aprobar el conteo, cada ajuste genera un movimiento de Kardex con motivo, usuario y referencia al conteo.</t>
  </si>
  <si>
    <t>CP-INV-009</t>
  </si>
  <si>
    <t>Validar — Transferencias entre bodegas o sucursales</t>
  </si>
  <si>
    <t>Origen, destino, insumos, cantidades</t>
  </si>
  <si>
    <t>La transferencia no incrementa el destino hasta confirmarse la recepción y el total enviado/recibido queda conciliado.</t>
  </si>
  <si>
    <t>CP-INV-010</t>
  </si>
  <si>
    <t>Validar — Unidades de medida y conversiones</t>
  </si>
  <si>
    <t>Unidades y factores</t>
  </si>
  <si>
    <t>El descuento por receta utiliza la unidad de consumo y conserva precisión suficiente para cuadrar el Kardex.</t>
  </si>
  <si>
    <t>CP-INV-011</t>
  </si>
  <si>
    <t>Validar — Lotes y fechas de caducidad</t>
  </si>
  <si>
    <t>Lote, fecha, cantidad</t>
  </si>
  <si>
    <t>El reporte identifica existencias por lote y fecha; una salida por caducidad conserva el lote afectado y su motivo.</t>
  </si>
  <si>
    <t>CP-ORD-007</t>
  </si>
  <si>
    <t>Validar — Asignación de productos por comensal/asiento</t>
  </si>
  <si>
    <t>Asiento, productos</t>
  </si>
  <si>
    <t>Al dividir la cuenta por asiento, cada artículo aparece una sola vez en el comensal asignado y el total conserva el valor original.</t>
  </si>
  <si>
    <t>CP-ORD-008</t>
  </si>
  <si>
    <t>Validar — Retención y liberación de tiempos/cursos (hold/fire)</t>
  </si>
  <si>
    <t>Curso, estado hold/fire</t>
  </si>
  <si>
    <t>Un artículo retenido no se marca para preparación hasta recibir la liberación y el KDS registra hora de hold y fire.</t>
  </si>
  <si>
    <t>CP-PAG-009</t>
  </si>
  <si>
    <t>Validar — Pagos mixtos y parciales</t>
  </si>
  <si>
    <t>Monto y método por pago</t>
  </si>
  <si>
    <t>La cuenta solo se marca pagada cuando la suma de pagos confirmados coincide con el total exigible, considerando redondeos autorizados.</t>
  </si>
  <si>
    <t>CP-PAG-010</t>
  </si>
  <si>
    <t>Validar — Reembolsos y reversos autorizados</t>
  </si>
  <si>
    <t>Pago original, monto, motivo</t>
  </si>
  <si>
    <t>Un reembolso aprobado queda vinculado al pago original, actualiza el cierre y no elimina la transacción inicial.</t>
  </si>
  <si>
    <t>CP-PAG-011</t>
  </si>
  <si>
    <t>Validar — Movimientos de caja no asociados a venta</t>
  </si>
  <si>
    <t>Tipo, monto, motivo</t>
  </si>
  <si>
    <t>El arqueo incluye los movimientos autorizados y permite explicar la diferencia entre efectivo teórico y contado.</t>
  </si>
  <si>
    <t>CP-RES-008</t>
  </si>
  <si>
    <t>Validar — Gestión de depósitos, devoluciones y no-show</t>
  </si>
  <si>
    <t>Reserva, depósito, regla</t>
  </si>
  <si>
    <t>El estado financiero del depósito queda trazable y no puede aplicarse dos veces a una misma reserva.</t>
  </si>
  <si>
    <t>CP-DEL-009</t>
  </si>
  <si>
    <t>Validar — Seguimiento de estados y ETA para el cliente</t>
  </si>
  <si>
    <t>Pedido, estado, ubicación/ETA</t>
  </si>
  <si>
    <t>Cada cambio de estado se registra con fecha/hora y el cliente visualiza únicamente el pedido asociado a su sesión/enlace seguro.</t>
  </si>
  <si>
    <t>CP-CRM-009</t>
  </si>
  <si>
    <t>Validar — Consentimientos y preferencias de comunicación</t>
  </si>
  <si>
    <t>Consentimiento, canal, finalidad</t>
  </si>
  <si>
    <t>Una campaña excluye automáticamente clientes sin consentimiento válido para el canal seleccionado y conserva evidencia del cambio de preferencia.</t>
  </si>
  <si>
    <t>CP-CFG-001</t>
  </si>
  <si>
    <t>Validar — Configuración de sucursales, zonas, bodegas y terminales</t>
  </si>
  <si>
    <t>Actor autenticado con permisos del módulo CFG. Sucursal/canal operativo activo cuando aplica. Datos maestros y configuraciones dependientes vigentes.</t>
  </si>
  <si>
    <t>Sucursal, zona, dispositivos</t>
  </si>
  <si>
    <t>Una terminal solo opera con la sucursal asignada y los datos transaccionales quedan identificados con esa sucursal.</t>
  </si>
  <si>
    <t>CP-CFG-002</t>
  </si>
  <si>
    <t>Validar — Parámetros de servicio, impuestos y propina por sucursal</t>
  </si>
  <si>
    <t>Parámetros, vigencia</t>
  </si>
  <si>
    <t>Una modificación entra en vigor desde la fecha definida y las transacciones históricas conservan el valor aplicado al momento de su registro.</t>
  </si>
  <si>
    <t>CP-CFG-003</t>
  </si>
  <si>
    <t>Validar — Gestión segura de credenciales de integraciones</t>
  </si>
  <si>
    <t>Proveedor, referencia de secreto</t>
  </si>
  <si>
    <t>Las credenciales pueden rotarse y revocarse sin exponer su valor; cada cambio queda auditado.</t>
  </si>
  <si>
    <t>CP-CFG-004</t>
  </si>
  <si>
    <t>Validar — Plantillas de notificación y canales</t>
  </si>
  <si>
    <t>Plantilla, canal, variables</t>
  </si>
  <si>
    <t>Antes de activar una plantilla, el sistema valida variables requeridas y permite una vista previa; los envíos quedan vinculados a la plantilla usada.</t>
  </si>
  <si>
    <t>MATRIZ DE TRAZABILIDAD COMPLETA — VISTA CONSOLIDADA</t>
  </si>
  <si>
    <t>RF = Requerimiento Funcional · CU = Caso de Uso · RNF = No Funcional · CP = Caso de Prueba · BPMN en observaciones</t>
  </si>
  <si>
    <t>Módulo</t>
  </si>
  <si>
    <t>ID RNF relacionados</t>
  </si>
  <si>
    <t>Categorías RNF</t>
  </si>
  <si>
    <t>Estado RF</t>
  </si>
  <si>
    <t>Estado CU</t>
  </si>
  <si>
    <t>Estado CP</t>
  </si>
  <si>
    <t>RNF-002, RNF-010, RNF-013, RNF-019, RNF-022</t>
  </si>
  <si>
    <t>Seguridad, Auditabilidad, Observabilidad, Retención y Archivo, Segregación de Datos Multi-sucursal</t>
  </si>
  <si>
    <t>✅ Documentado</t>
  </si>
  <si>
    <t>Base original (v1.0 normalizada) · BPMN-AUTH-001 · Dependencias: RF-AUTH-009</t>
  </si>
  <si>
    <t>Base original (v1.0 normalizada) · BPMN-AUTH-001 · Dependencias: RF-AUTH-001-BASICO</t>
  </si>
  <si>
    <t>Base original (v1.0 normalizada) · BPMN-AUTH-001 · Dependencias: RF-AUTH-003-PREMIUM</t>
  </si>
  <si>
    <t>Base original (v1.0 normalizada) · BPMN-AUTH-001 · Dependencias: N/A</t>
  </si>
  <si>
    <t>RNF-002, RNF-010, RNF-014, RNF-019, RNF-022</t>
  </si>
  <si>
    <t>Seguridad, Auditabilidad, Privacidad y Minimización, Retención y Archivo, Segregación de Datos Multi-sucursal</t>
  </si>
  <si>
    <t>Base original (v1.0 normalizada) · BPMN-REG-001 · Dependencias: N/A</t>
  </si>
  <si>
    <t>Base original (v1.0 normalizada) · BPMN-REG-001 · Dependencias: RF-AUTH-001-BASICO</t>
  </si>
  <si>
    <t>Base original (v1.0 normalizada) · BPMN-REG-001 · Dependencias: RF-REG-001-BASICO</t>
  </si>
  <si>
    <t>Base original (v1.0 normalizada) · BPMN-REG-001 · Dependencias: RF-RRHH-003</t>
  </si>
  <si>
    <t>RNF-001, RNF-008, RNF-011, RNF-013, RNF-016, RNF-022</t>
  </si>
  <si>
    <t>Rendimiento, Sincronización en Tiempo Real, Integridad e Idempotencia, Observabilidad, Operación Offline y Resincronización, Segregación de Datos Multi-sucursal</t>
  </si>
  <si>
    <t>Base original (v1.0 normalizada) · BPMN-MESA-001 · Dependencias: N/A</t>
  </si>
  <si>
    <t>Base original (v1.0 normalizada) · BPMN-MESA-001 · Dependencias: RF-MESA-001</t>
  </si>
  <si>
    <t>Base original (v1.0 normalizada) · BPMN-MESA-001 · Dependencias: RF-MESA-002</t>
  </si>
  <si>
    <t>Base original (v1.0 normalizada) · BPMN-MESA-001 · Dependencias: RF-PAG-002</t>
  </si>
  <si>
    <t>Base original (v1.0 normalizada) · BPMN-ORD-001 · Dependencias: RF-MESA-003</t>
  </si>
  <si>
    <t>Base original (v1.0 normalizada) · BPMN-ORD-001 · Dependencias: RF-ORD-001</t>
  </si>
  <si>
    <t>Base original (v1.0 normalizada) · BPMN-ORD-001 · Dependencias: RF-ORD-002</t>
  </si>
  <si>
    <t>Base original (v1.0 normalizada) · BPMN-ORD-001 · Dependencias: RF-ROUT-001, RF-COC-001</t>
  </si>
  <si>
    <t>Base original (v1.0 normalizada) · BPMN-ORD-001 · Dependencias: RF-BI-003</t>
  </si>
  <si>
    <t>Base original (v1.0 normalizada) · BPMN-COC-001 · Dependencias: RF-COC-004</t>
  </si>
  <si>
    <t>Base original (v1.0 normalizada) · BPMN-COC-001 · Dependencias: RF-COC-001</t>
  </si>
  <si>
    <t>Base original (v1.0 normalizada) · BPMN-COC-001 · Dependencias: RF-ORD-002</t>
  </si>
  <si>
    <t>Base original (v1.0 normalizada) · BPMN-COC-001 · Dependencias: RF-ROUT-002</t>
  </si>
  <si>
    <t>Base original (v1.0 normalizada) · BPMN-COC-001 · Dependencias: RF-COC-005</t>
  </si>
  <si>
    <t>Base original (v1.0 normalizada) · BPMN-COC-001 · Dependencias: RF-COC-002</t>
  </si>
  <si>
    <t>Base original (v1.0 normalizada) · BPMN-ROUT-001 · Dependencias: N/A</t>
  </si>
  <si>
    <t>Base original (v1.0 normalizada) · BPMN-ROUT-001 · Dependencias: RF-ROUT-001</t>
  </si>
  <si>
    <t>Base original (v1.0 normalizada) · BPMN-ROUT-001 · Dependencias: RF-ROUT-002</t>
  </si>
  <si>
    <t>RNF-002, RNF-009, RNF-010, RNF-011, RNF-013, RNF-017, RNF-018, RNF-022</t>
  </si>
  <si>
    <t>Seguridad, Cumplimiento Normativo, Auditabilidad, Integridad e Idempotencia, Observabilidad, Localización y Precisión Monetaria, API e Integraciones, Segregación de Datos Multi-sucursal</t>
  </si>
  <si>
    <t>Base original (v1.0 normalizada) · BPMN-PAG-001 · Dependencias: N/A</t>
  </si>
  <si>
    <t>Base original (v1.0 normalizada) · BPMN-PAG-001 · Dependencias: RF-ROUT-004, RF-PAG-001</t>
  </si>
  <si>
    <t>Base original (v1.0 normalizada) · BPMN-PAG-001 · Dependencias: RF-PAG-002</t>
  </si>
  <si>
    <t>Base original (v1.0 normalizada) · BPMN-PAG-001 · Dependencias: RF-PAG-005</t>
  </si>
  <si>
    <t>RNF-010, RNF-011, RNF-013, RNF-017, RNF-019, RNF-022</t>
  </si>
  <si>
    <t>Auditabilidad, Integridad e Idempotencia, Observabilidad, Localización y Precisión Monetaria, Retención y Archivo, Segregación de Datos Multi-sucursal</t>
  </si>
  <si>
    <t>Base original (v1.0 normalizada) · BPMN-INV-001 · Dependencias: N/A</t>
  </si>
  <si>
    <t>Base original (v1.0 normalizada) · BPMN-INV-001 · Dependencias: RF-INV-001, RF-PAG-002</t>
  </si>
  <si>
    <t>Base original (v1.0 normalizada) · BPMN-INV-001 · Dependencias: RF-INV-003</t>
  </si>
  <si>
    <t>Base original (v1.0 normalizada) · BPMN-INV-001 · Dependencias: RF-INV-003, RF-INV-004</t>
  </si>
  <si>
    <t>Base original (v1.0 normalizada) · BPMN-INV-001 · Dependencias: RF-INV-002</t>
  </si>
  <si>
    <t>Base original (v1.0 normalizada) · BPMN-INV-001 · Dependencias: RF-INV-001</t>
  </si>
  <si>
    <t>RNF-002, RNF-007, RNF-014, RNF-018, RNF-019, RNF-022</t>
  </si>
  <si>
    <t>Seguridad, Interoperabilidad, Privacidad y Minimización, API e Integraciones, Retención y Archivo, Segregación de Datos Multi-sucursal</t>
  </si>
  <si>
    <t>Base original (v1.0 normalizada) · BPMN-RES-001 · Dependencias: N/A</t>
  </si>
  <si>
    <t>Base original (v1.0 normalizada) · BPMN-RES-001 · Dependencias: RF-RES-001</t>
  </si>
  <si>
    <t>Base original (v1.0 normalizada) · BPMN-RES-001 · Dependencias: RF-RES-002</t>
  </si>
  <si>
    <t>Base original (v1.0 normalizada) · BPMN-RES-001 · Dependencias: RF-MESA-007</t>
  </si>
  <si>
    <t>Base original (v1.0 normalizada) · BPMN-RES-001 · Dependencias: RF-RES-003, RF-RES-004</t>
  </si>
  <si>
    <t>Base original (v1.0 normalizada) · BPMN-RES-001 · Dependencias: RF-MESA-002, RF-RES-003</t>
  </si>
  <si>
    <t>Base original (v1.0 normalizada) · BPMN-RES-001 · Dependencias: RF-CRM-001</t>
  </si>
  <si>
    <t>Base original (v1.0 normalizada) · BPMN-DEL-001 · Dependencias: N/A</t>
  </si>
  <si>
    <t>Base original (v1.0 normalizada) · BPMN-DEL-001 · Dependencias: RF-DEL-001</t>
  </si>
  <si>
    <t>Base original (v1.0 normalizada) · BPMN-DEL-001 · Dependencias: RF-DEL-004</t>
  </si>
  <si>
    <t>Base original (v1.0 normalizada) · BPMN-DEL-001 · Dependencias: RF-DEL-005</t>
  </si>
  <si>
    <t>Base original (v1.0 normalizada) · BPMN-DEL-001 · Dependencias: RF-DEL-007</t>
  </si>
  <si>
    <t>Base original (v1.0 normalizada) · BPMN-RRHH-001 · Dependencias: RF-REG-001-BASICO</t>
  </si>
  <si>
    <t>Base original (v1.0 normalizada) · BPMN-RRHH-001 · Dependencias: RF-RRHH-001</t>
  </si>
  <si>
    <t>Base original (v1.0 normalizada) · BPMN-RRHH-001 · Dependencias: RF-RRHH-003</t>
  </si>
  <si>
    <t>Base original (v1.0 normalizada) · BPMN-RRHH-001 · Dependencias: RF-PAG-003</t>
  </si>
  <si>
    <t>Base original (v1.0 normalizada) · BPMN-RRHH-001 · Dependencias: RF-RRHH-005</t>
  </si>
  <si>
    <t>Base original (v1.0 normalizada) · BPMN-RRHH-001 · Dependencias: RF-RRHH-007</t>
  </si>
  <si>
    <t>RNF-001, RNF-005, RNF-010, RNF-013, RNF-017, RNF-022</t>
  </si>
  <si>
    <t>Rendimiento, Escalabilidad, Auditabilidad, Observabilidad, Localización y Precisión Monetaria, Segregación de Datos Multi-sucursal</t>
  </si>
  <si>
    <t>Base original (v1.0 normalizada) · BPMN-BI-001 · Dependencias: RF-INV-007</t>
  </si>
  <si>
    <t>Base original (v1.0 normalizada) · BPMN-BI-001 · Dependencias: N/A</t>
  </si>
  <si>
    <t>Base original (v1.0 normalizada) · BPMN-BI-001 · Dependencias: RF-PAG-005, RF-INV-007</t>
  </si>
  <si>
    <t>Base original (v1.0 normalizada) · BPMN-BI-001 · Dependencias: RF-PAG-002</t>
  </si>
  <si>
    <t>Base original (v1.0 normalizada) · BPMN-BI-001 · Dependencias: RF-PAG-005, RF-MESA-007</t>
  </si>
  <si>
    <t>Base original (v1.0 normalizada) · BPMN-BI-001 · Dependencias: RF-PAG-005</t>
  </si>
  <si>
    <t>Base original (v1.0 normalizada) · BPMN-BI-001 · Dependencias: RF-PAG-008</t>
  </si>
  <si>
    <t>Base original (v1.0 normalizada) · BPMN-QR-001 · Dependencias: RF-MESA-002</t>
  </si>
  <si>
    <t>Base original (v1.0 normalizada) · BPMN-QR-001 · Dependencias: RF-QR-001</t>
  </si>
  <si>
    <t>Base original (v1.0 normalizada) · BPMN-QR-001 · Dependencias: RF-QR-002</t>
  </si>
  <si>
    <t>Base original (v1.0 normalizada) · BPMN-QR-001 · Dependencias: RF-PAG-002</t>
  </si>
  <si>
    <t>Base original (v1.0 normalizada) · BPMN-QR-001 · Dependencias: RF-PAG-006, RF-QR-004</t>
  </si>
  <si>
    <t>Base original (v1.0 normalizada) · BPMN-QR-001 · Dependencias: RF-QR-006</t>
  </si>
  <si>
    <t>Base original (v1.0 normalizada) · BPMN-CRM-001 · Dependencias: N/A</t>
  </si>
  <si>
    <t>Base original (v1.0 normalizada) · BPMN-CRM-001 · Dependencias: RF-CRM-001, RF-PAG-002</t>
  </si>
  <si>
    <t>Base original (v1.0 normalizada) · BPMN-CRM-001 · Dependencias: RF-CRM-003</t>
  </si>
  <si>
    <t>Base original (v1.0 normalizada) · BPMN-CRM-001 · Dependencias: RF-CRM-001</t>
  </si>
  <si>
    <t>Base original (v1.0 normalizada) · BPMN-CRM-001 · Dependencias: RF-CRM-002</t>
  </si>
  <si>
    <t>Base original (v1.0 normalizada) · BPMN-CRM-001 · Dependencias: RF-CRM-004</t>
  </si>
  <si>
    <t>Análisis de brecha v2.0 · BPMN-AUTH-001 · Dependencias: RF-AUTH-001</t>
  </si>
  <si>
    <t>Análisis de brecha v2.0 · BPMN-AUTH-001 · Dependencias: RF-AUTH-010</t>
  </si>
  <si>
    <t>Análisis de brecha v2.0 · BPMN-AUTH-001 · Dependencias: RF-AUTH-001, RF-AUTH-009</t>
  </si>
  <si>
    <t>RNF-002, RNF-010, RNF-013, RNF-017, RNF-019, RNF-022</t>
  </si>
  <si>
    <t>Seguridad, Auditabilidad, Observabilidad, Localización y Precisión Monetaria, Retención y Archivo, Segregación de Datos Multi-sucursal</t>
  </si>
  <si>
    <t>Análisis de brecha v2.0 · BPMN-CAT-001 · Dependencias: RF-ORD-001, RF-QR-002</t>
  </si>
  <si>
    <t>Análisis de brecha v2.0 · BPMN-CAT-001 · Dependencias: RF-ORD-002, RF-COC-003</t>
  </si>
  <si>
    <t>Análisis de brecha v2.0 · BPMN-CAT-001 · Dependencias: RF-PAG-002, RF-CRM-006</t>
  </si>
  <si>
    <t>Análisis de brecha v2.0 · BPMN-CAT-001 · Dependencias: RF-CAT-001</t>
  </si>
  <si>
    <t>Análisis de brecha v2.0 · BPMN-CAT-001 · Dependencias: RF-CAT-001, RF-INV-006</t>
  </si>
  <si>
    <t>Análisis de brecha v2.0 · BPMN-CAT-001 · Dependencias: RF-QR-002, RF-ORD-002</t>
  </si>
  <si>
    <t>Análisis de brecha v2.0 · BPMN-PUR-001 · Dependencias: RF-INV-003</t>
  </si>
  <si>
    <t>Análisis de brecha v2.0 · BPMN-PUR-001 · Dependencias: RF-PUR-001</t>
  </si>
  <si>
    <t>Análisis de brecha v2.0 · BPMN-PUR-001 · Dependencias: RF-PUR-002, RF-AUTH-010</t>
  </si>
  <si>
    <t>Análisis de brecha v2.0 · BPMN-PUR-001 · Dependencias: RF-PUR-002, RF-INV-003</t>
  </si>
  <si>
    <t>Análisis de brecha v2.0 · BPMN-PUR-001 · Dependencias: RF-PUR-004, RF-INV-007</t>
  </si>
  <si>
    <t>Análisis de brecha v2.0 · BPMN-INV-001 · Dependencias: RF-INV-005</t>
  </si>
  <si>
    <t>Análisis de brecha v2.0 · BPMN-INV-001 · Dependencias: RF-INV-005, RF-CFG-001</t>
  </si>
  <si>
    <t>Análisis de brecha v2.0 · BPMN-INV-001 · Dependencias: RF-INV-001, RF-INV-002</t>
  </si>
  <si>
    <t>Análisis de brecha v2.0 · BPMN-INV-001 · Dependencias: RF-INV-004, RF-INV-005</t>
  </si>
  <si>
    <t>Análisis de brecha v2.0 · BPMN-ORD-001 · Dependencias: RF-PAG-004</t>
  </si>
  <si>
    <t>Análisis de brecha v2.0 · BPMN-ORD-001 · Dependencias: RF-COC-002, RF-ORD-005</t>
  </si>
  <si>
    <t>Análisis de brecha v2.0 · BPMN-PAG-001 · Dependencias: RF-PAG-002</t>
  </si>
  <si>
    <t>Análisis de brecha v2.0 · BPMN-PAG-001 · Dependencias: RF-PAG-002, RF-AUTH-010</t>
  </si>
  <si>
    <t>Análisis de brecha v2.0 · BPMN-PAG-001 · Dependencias: RF-PAG-005</t>
  </si>
  <si>
    <t>Análisis de brecha v2.0 · BPMN-RES-001 · Dependencias: RF-RES-002, RF-PAG-002</t>
  </si>
  <si>
    <t>Análisis de brecha v2.0 · BPMN-DEL-001 · Dependencias: RF-DEL-004, RF-DEL-006</t>
  </si>
  <si>
    <t>Análisis de brecha v2.0 · BPMN-CRM-001 · Dependencias: RF-CRM-006, RF-CRM-007</t>
  </si>
  <si>
    <t>Análisis de brecha v2.0 · BPMN-CFG-001 · Dependencias: RF-AUTH-010</t>
  </si>
  <si>
    <t>Análisis de brecha v2.0 · BPMN-CFG-001 · Dependencias: RF-PAG-003, RF-CAT-004</t>
  </si>
  <si>
    <t>Análisis de brecha v2.0 · BPMN-CFG-001 · Dependencias: RF-RES-005, RF-CRM-006</t>
  </si>
  <si>
    <t>RESUMEN DE ESTADO Y COBERTURA — MATRIZ RUP v2.0</t>
  </si>
  <si>
    <t>Cobertura documental de 131 RF · 131 CU · 22 RNF · 131 CP base · 17 módulos BPMN</t>
  </si>
  <si>
    <t>Categoría / Módulo</t>
  </si>
  <si>
    <t>Total RF</t>
  </si>
  <si>
    <t>Con CU</t>
  </si>
  <si>
    <t>Con RNF</t>
  </si>
  <si>
    <t>Con CP</t>
  </si>
  <si>
    <t>% Cobertura</t>
  </si>
  <si>
    <t>TOTAL</t>
  </si>
  <si>
    <t>INDICADORES CLAVE</t>
  </si>
  <si>
    <t>ESTADO DE LA LÍNEA BASE</t>
  </si>
  <si>
    <t>KPI</t>
  </si>
  <si>
    <t>Valor</t>
  </si>
  <si>
    <t>Aspecto</t>
  </si>
  <si>
    <t>Comentario</t>
  </si>
  <si>
    <t>Trazabilidad RF ↔ CU</t>
  </si>
  <si>
    <t>131/131 vínculos</t>
  </si>
  <si>
    <t>RF base v1.0 normalizados</t>
  </si>
  <si>
    <t>Trazabilidad RF ↔ RNF</t>
  </si>
  <si>
    <t>783 vínculos aplicables</t>
  </si>
  <si>
    <t>RF complementarios v2.0</t>
  </si>
  <si>
    <t>Trazabilidad RF ↔ CP</t>
  </si>
  <si>
    <t>131 CP base; ejecución pendiente</t>
  </si>
  <si>
    <t>CU documentados</t>
  </si>
  <si>
    <t>Trazabilidad RF ↔ BPMN</t>
  </si>
  <si>
    <t>131/131 RF vinculados a 17 procesos</t>
  </si>
  <si>
    <t>RNF definidos</t>
  </si>
  <si>
    <t>30 RF requieren aprobación de stakeholders</t>
  </si>
  <si>
    <t>CP base planificados</t>
  </si>
  <si>
    <t>Implementación del software</t>
  </si>
  <si>
    <t>La matriz documenta alcance; no implica implementación</t>
  </si>
  <si>
    <t>Módulos</t>
  </si>
  <si>
    <t>QA / UAT</t>
  </si>
  <si>
    <t>Definir casos detallados y ejecutar pruebas</t>
  </si>
  <si>
    <t>Enlaces RF → BPMN</t>
  </si>
  <si>
    <t>Línea base final</t>
  </si>
  <si>
    <t>Cerrar riesgos/decisiones de la hoja PENDIENTES RUP</t>
  </si>
  <si>
    <t>Cobertura documental global</t>
  </si>
  <si>
    <t>TRAZABILIDAD — RF / CU ↔ PROCESOS BPMN</t>
  </si>
  <si>
    <t>Cada requerimiento está vinculado al proceso BPMN v2.0 de su módulo</t>
  </si>
  <si>
    <t>ID CU</t>
  </si>
  <si>
    <t>ID Proceso BPMN</t>
  </si>
  <si>
    <t>Proceso</t>
  </si>
  <si>
    <t>Actividad vinculada</t>
  </si>
  <si>
    <t>Carril / Actor</t>
  </si>
  <si>
    <t>Tipo BPMN</t>
  </si>
  <si>
    <t>BPMN-AUTH-001</t>
  </si>
  <si>
    <t>Proceso BPMN — Autenticación y Control de Acceso</t>
  </si>
  <si>
    <t>User Task</t>
  </si>
  <si>
    <t>✅ Documentado v2.0</t>
  </si>
  <si>
    <t>Actividad equivalente/abreviada en el diagrama BPMN v2.0.</t>
  </si>
  <si>
    <t>User/Service Task + Message</t>
  </si>
  <si>
    <t>Service Task</t>
  </si>
  <si>
    <t>BPMN-REG-001</t>
  </si>
  <si>
    <t>Proceso BPMN — Registro y Gestión de Personal</t>
  </si>
  <si>
    <t>BPMN-MESA-001</t>
  </si>
  <si>
    <t>Proceso BPMN — Gestión de Mesas y Salón</t>
  </si>
  <si>
    <t>BPMN-ORD-001</t>
  </si>
  <si>
    <t>Proceso BPMN — Gestión de Órdenes</t>
  </si>
  <si>
    <t>BPMN-COC-001</t>
  </si>
  <si>
    <t>Proceso BPMN — Pantallas de Cocina (KDS)</t>
  </si>
  <si>
    <t>BPMN-ROUT-001</t>
  </si>
  <si>
    <t>Proceso BPMN — Enrutamiento Central de Pedidos</t>
  </si>
  <si>
    <t>BPMN-PAG-001</t>
  </si>
  <si>
    <t>Proceso BPMN — Gestión de Pagos (POS y Backoffice)</t>
  </si>
  <si>
    <t>BPMN-INV-001</t>
  </si>
  <si>
    <t>Proceso BPMN — Inventarios y Recetas</t>
  </si>
  <si>
    <t>BPMN-RES-001</t>
  </si>
  <si>
    <t>Proceso BPMN — Reservaciones y Lista de Espera</t>
  </si>
  <si>
    <t>BPMN-DEL-001</t>
  </si>
  <si>
    <t>Proceso BPMN — Delivery, Pedidos Online y Repartidores</t>
  </si>
  <si>
    <t>BPMN-RRHH-001</t>
  </si>
  <si>
    <t>Proceso BPMN — Turnos, Horarios y Propinas</t>
  </si>
  <si>
    <t>BPMN-BI-001</t>
  </si>
  <si>
    <t>Proceso BPMN — Reportes, Business Intelligence y Analítica</t>
  </si>
  <si>
    <t>BPMN-QR-001</t>
  </si>
  <si>
    <t>Proceso BPMN — Menú Digital QR y Auto-Pedido</t>
  </si>
  <si>
    <t>BPMN-CRM-001</t>
  </si>
  <si>
    <t>Proceso BPMN — Fidelización, CRM y Marketing</t>
  </si>
  <si>
    <t>BPMN-CAT-001</t>
  </si>
  <si>
    <t>Proceso BPMN — Catálogo, Menú, Precios y Disponibilidad</t>
  </si>
  <si>
    <t>BPMN-PUR-001</t>
  </si>
  <si>
    <t>Proceso BPMN — Compras y Proveedores</t>
  </si>
  <si>
    <t>BPMN-CFG-001</t>
  </si>
  <si>
    <t>Proceso BPMN — Configuración, Sucursales e Integraciones</t>
  </si>
  <si>
    <t>CATÁLOGO DE REQUERIMIENTOS NO FUNCIONALES</t>
  </si>
  <si>
    <t>22 RNF consolidados de la SRS v2.0 · Clasificación ISO/IEC 25010 orientativa</t>
  </si>
  <si>
    <t>Nombre / Categoría</t>
  </si>
  <si>
    <t>Descripción</t>
  </si>
  <si>
    <t>Prioridad Propuesta</t>
  </si>
  <si>
    <t>El sistema deberá procesar y reflejar una orden de mesero en la pantalla de cocina en menos de 5 segundos. Las consultas de dashboards deberán responder en menos de 3 segundos con hasta 50 usuarios concurrentes.</t>
  </si>
  <si>
    <t>Prioridad propuesta para planificación; validar con arquitectura, negocio y QA.</t>
  </si>
  <si>
    <t>Las contraseñas deberán almacenarse con Argon2id preferentemente (o bcrypt/scrypt/PBKDF2 aprobados), nunca con hashes rápidos de propósito general. Los datos sensibles viajarán sobre TLS 1.2+ (TLS 1.3 preferido), los secretos se gestionarán fuera del código y la autorización se aplicará por rol y sucursal.</t>
  </si>
  <si>
    <t>RNF-003</t>
  </si>
  <si>
    <t>Disponibilidad</t>
  </si>
  <si>
    <t>El sistema deberá estar disponible el 99.5% del tiempo en horario de operación del restaurante, con degradación controlada (modo offline básico de POS) ante pérdida de conectividad.</t>
  </si>
  <si>
    <t>RNF-004</t>
  </si>
  <si>
    <t>Usabilidad</t>
  </si>
  <si>
    <t>Capacidad de interacción / Usabilidad</t>
  </si>
  <si>
    <t>Las interfaces táctiles deberán priorizar tareas frecuentes con mínima navegación, mensajes claros y objetivos táctiles adecuados. El personal operativo deberá completar los flujos básicos con una capacitación objetivo menor a 1 hora y sin depender de manuales extensos.</t>
  </si>
  <si>
    <t>El sistema deberá soportar el crecimiento de un restaurante individual a una cadena multi-sucursal sin rediseño de arquitectura, incluyendo hasta 100 usuarios concurrentes por sucursal.</t>
  </si>
  <si>
    <t>RNF-006</t>
  </si>
  <si>
    <t>Mantenibilidad</t>
  </si>
  <si>
    <t>El código deberá seguir un estándar de arquitectura modular (por dominio: mesas, órdenes, pagos, inventario, RRHH, CRM) que permita evolucionar cada módulo de forma independiente.</t>
  </si>
  <si>
    <t>El sistema deberá integrarse mediante API con proveedores externos: FEL/SAT, pasarelas de pago, WhatsApp Business, agregadores de delivery (Uber Eats, PedidosYa) y dispositivos biométricos.</t>
  </si>
  <si>
    <t>Los módulos de Mesas, Órdenes, Cocina (KDS) y Pagos deberán mantener sincronización en tiempo real (WebSockets) entre todos los dispositivos conectados.</t>
  </si>
  <si>
    <t>La facturación electrónica deberá cumplir la normativa FEL aplicable y conservar los identificadores/respuestas necesarios para auditoría. Otros requisitos legales o de privacidad deberán validarse con el responsable legal/contable del cliente antes de producción.</t>
  </si>
  <si>
    <t>Toda transacción crítica (pago, anulación, descuento, cambio de inventario) deberá quedar registrada con usuario, fecha/hora y detalle, sin posibilidad de edición posterior.</t>
  </si>
  <si>
    <t>Las operaciones críticas de creación de orden, cobro, reembolso, cierre e integración deberán tolerar reintentos sin duplicar el efecto. Se usarán transacciones y claves idempotentes cuando corresponda.</t>
  </si>
  <si>
    <t>RNF-012</t>
  </si>
  <si>
    <t>Respaldo y Recuperación</t>
  </si>
  <si>
    <t>Objetivo inicial: respaldos automáticos verificables, RPO &lt;= 15 minutos para datos transaccionales y RTO &lt;= 2 horas para servicios críticos, sujetos al SLA final. Deben ejecutarse pruebas periódicas de restauración.</t>
  </si>
  <si>
    <t>El sistema deberá generar logs estructurados, métricas de salud, alertas y un identificador de correlación por transacción distribuida, sin registrar contraseñas, tokens completos ni datos sensibles innecesarios.</t>
  </si>
  <si>
    <t>Solo se capturarán datos personales necesarios para la finalidad declarada. Se deberán soportar mecanismos de consulta, corrección, anonimización o eliminación cuando proceda según política y normativa aplicable.</t>
  </si>
  <si>
    <t>RNF-015</t>
  </si>
  <si>
    <t>El backoffice deberá funcionar en navegadores modernos soportados; POS/KDS deberán contar con una matriz explícita de dispositivos y resoluciones certificadas antes de producción.</t>
  </si>
  <si>
    <t>Las funciones habilitadas offline deberán indicar claramente su estado, almacenar operaciones localmente de forma segura y resolver duplicados/conflictos al recuperar conectividad sin perder trazabilidad.</t>
  </si>
  <si>
    <t>El sistema deberá manejar moneda, zona horaria, formato de fecha, impuestos y reglas de redondeo configurables. Los importes monetarios no deberán calcularse con aritmética binaria de punto flotante sin control de precisión.</t>
  </si>
  <si>
    <t>Las APIs deberán estar versionadas, autenticadas, documentadas y protegidas con límites razonables. Timeouts, reintentos y circuit breaker se aplicarán según criticidad y comportamiento del proveedor.</t>
  </si>
  <si>
    <t>Los periodos de retención de transacciones, auditoría, documentos y datos personales deberán ser configurables por política, con archivo o eliminación controlada y trazable.</t>
  </si>
  <si>
    <t>RNF-020</t>
  </si>
  <si>
    <t>Calidad y Testabilidad</t>
  </si>
  <si>
    <t>La lógica crítica deberá contar con pruebas automatizadas unitarias e integración; los flujos de negocio principales deberán tener pruebas end-to-end y datos de prueba reproducibles.</t>
  </si>
  <si>
    <t>RNF-021</t>
  </si>
  <si>
    <t>Despliegue y Reversión</t>
  </si>
  <si>
    <t>Cada despliegue deberá ser versionado, auditable y permitir reversión controlada. Los cambios de esquema de datos deberán ser compatibles con una estrategia de migración y recuperación.</t>
  </si>
  <si>
    <t>Los usuarios y terminales deberán acceder únicamente a las sucursales autorizadas. Reportes consolidados requerirán permiso explícito y toda transacción deberá conservar la sucursal de origen.</t>
  </si>
  <si>
    <t>CATÁLOGO DE MÓDULOS Y COBERTURA FUNCIONAL</t>
  </si>
  <si>
    <t>17 módulos · 101 RF base + 30 RF complementarios v2.0 = 131 RF</t>
  </si>
  <si>
    <t>Código</t>
  </si>
  <si>
    <t>RF Base v1.0</t>
  </si>
  <si>
    <t>RF Brecha v2.0</t>
  </si>
  <si>
    <t>Prioridad Alta</t>
  </si>
  <si>
    <t>Prioridad Media</t>
  </si>
  <si>
    <t>Prioridad Baja</t>
  </si>
  <si>
    <t>Proceso BPMN</t>
  </si>
  <si>
    <t>Cobertura Documental</t>
  </si>
  <si>
    <t>AUTH</t>
  </si>
  <si>
    <t>✅ 100% trazabilidad documental</t>
  </si>
  <si>
    <t>REG</t>
  </si>
  <si>
    <t>CFG</t>
  </si>
  <si>
    <t>MESA</t>
  </si>
  <si>
    <t>CAT</t>
  </si>
  <si>
    <t>ORD</t>
  </si>
  <si>
    <t>COC</t>
  </si>
  <si>
    <t>ROUT</t>
  </si>
  <si>
    <t>PAG</t>
  </si>
  <si>
    <t>PUR</t>
  </si>
  <si>
    <t>INV</t>
  </si>
  <si>
    <t>RES</t>
  </si>
  <si>
    <t>DEL</t>
  </si>
  <si>
    <t>BI</t>
  </si>
  <si>
    <t>QR</t>
  </si>
  <si>
    <t>CRM</t>
  </si>
  <si>
    <t>RIESGOS, DECISIONES ABIERTAS Y ARTEFACTOS RUP</t>
  </si>
  <si>
    <t>Pendientes de validación para completar la línea base y preparar desarrollo / QA / operación</t>
  </si>
  <si>
    <t>RIESGOS Y DECISIONES ABIERTAS</t>
  </si>
  <si>
    <t>ID</t>
  </si>
  <si>
    <t>Riesgo / decisión</t>
  </si>
  <si>
    <t>Impacto</t>
  </si>
  <si>
    <t>Acción requerida</t>
  </si>
  <si>
    <t>R-01</t>
  </si>
  <si>
    <t>Proveedor FEL y contrato/API definitivo no especificados</t>
  </si>
  <si>
    <t>Alto</t>
  </si>
  <si>
    <t>Seleccionar proveedor, sandbox y criterios de contingencia antes de pruebas integrales.</t>
  </si>
  <si>
    <t>R-02</t>
  </si>
  <si>
    <t>Pasarela/terminal de pago y capacidades de reverso/tokenización por definir</t>
  </si>
  <si>
    <t>Definir proveedor, certificación de hardware y flujo de conciliación.</t>
  </si>
  <si>
    <t>R-03</t>
  </si>
  <si>
    <t>Matriz comercial Básico/Premium/Gold incompleta para módulos distintos de AUTH/REG</t>
  </si>
  <si>
    <t>Medio</t>
  </si>
  <si>
    <t>Aprobar matriz de capacidades por plan y reflejarla en licenciamiento/configuración.</t>
  </si>
  <si>
    <t>R-04</t>
  </si>
  <si>
    <t>Operación offline no delimitada por tipo de pago/venta</t>
  </si>
  <si>
    <t>Acordar funciones permitidas, límites, seguridad y reconciliación.</t>
  </si>
  <si>
    <t>R-05</t>
  </si>
  <si>
    <t>Compatibilidad de impresoras, cajones, KDS, biometría y dispositivos</t>
  </si>
  <si>
    <t>Crear matriz de hardware certificado y laboratorio de pruebas.</t>
  </si>
  <si>
    <t>R-06</t>
  </si>
  <si>
    <t>Migración de datos desde sistemas/hojas existentes no especificada</t>
  </si>
  <si>
    <t>Inventariar fuentes, calidad, volumen y reglas de limpieza/carga.</t>
  </si>
  <si>
    <t>R-07</t>
  </si>
  <si>
    <t>Volumen esperado de órdenes, sucursales y retención histórica no cuantificado</t>
  </si>
  <si>
    <t>Definir escenarios de capacidad para dimensionamiento y pruebas de rendimiento.</t>
  </si>
  <si>
    <t>R-08</t>
  </si>
  <si>
    <t>Políticas de privacidad, conservación y consentimiento pendientes de aprobación formal</t>
  </si>
  <si>
    <t>Validar con responsables legal/administrativo antes de producción.</t>
  </si>
  <si>
    <t>ARTEFACTOS RUP / INGENIERÍA DE SOFTWARE</t>
  </si>
  <si>
    <t>Artefacto</t>
  </si>
  <si>
    <t>Cobertura / Acción</t>
  </si>
  <si>
    <t>Referencia</t>
  </si>
  <si>
    <t>Especificación de Requerimientos de Software (SRS)</t>
  </si>
  <si>
    <t>✅ Completo v2.0</t>
  </si>
  <si>
    <t>131 RF · 22 RNF · 17 módulos</t>
  </si>
  <si>
    <t>Requerimientos_Software_Restaurante_V2_Profesional.docx</t>
  </si>
  <si>
    <t>Especificación de Casos de Uso</t>
  </si>
  <si>
    <t>131 CU alineados con RF</t>
  </si>
  <si>
    <t>Casos_De_Uso_Restaurante_V2_Profesional.docx</t>
  </si>
  <si>
    <t>Diagramas BPMN</t>
  </si>
  <si>
    <t>17 procesos/módulos con trazabilidad a RF/CU</t>
  </si>
  <si>
    <t>Diagramas_BPMN_Restaurante_V2_Profesional.docx</t>
  </si>
  <si>
    <t>Diagramas UML de Casos de Uso</t>
  </si>
  <si>
    <t>17 diagramas UML + 131 diagramas de actividad</t>
  </si>
  <si>
    <t>Diagramas_Casos_De_Uso_Restaurante_V2_Profesional.docx</t>
  </si>
  <si>
    <t>Matriz de Trazabilidad RUP</t>
  </si>
  <si>
    <t>✅ Actualizada</t>
  </si>
  <si>
    <t>RF ↔ CU ↔ RNF ↔ CP ↔ BPMN</t>
  </si>
  <si>
    <t>Matriz_Trazabilidad_RUP_V2_Completa.xlsx</t>
  </si>
  <si>
    <t>Casos de prueba detallados</t>
  </si>
  <si>
    <t>🧪 Planificados</t>
  </si>
  <si>
    <t>131 CP base creados; falta detallar escenarios y ejecutar</t>
  </si>
  <si>
    <t>Pendiente fase QA</t>
  </si>
  <si>
    <t>Modelo lógico/físico de datos</t>
  </si>
  <si>
    <t>Derivar del modelo conceptual; documentar índices, restricciones y auditoría</t>
  </si>
  <si>
    <t>Pendiente</t>
  </si>
  <si>
    <t>ADRs de arquitectura</t>
  </si>
  <si>
    <t>Formalizar stack, mensajería, caché, offline, seguridad y despliegue</t>
  </si>
  <si>
    <t>Contrato de APIs</t>
  </si>
  <si>
    <t>Endpoints/eventos, esquemas, errores, autenticación, idempotencia y versionado</t>
  </si>
  <si>
    <t>Matriz de roles y permisos</t>
  </si>
  <si>
    <t>⚠ Validación requerida</t>
  </si>
  <si>
    <t>RBAC especificado en RF-AUTH-010; falta aprobación formal por rol/sucursal</t>
  </si>
  <si>
    <t>Pendiente aprobación</t>
  </si>
  <si>
    <t>Matriz de planes comerciales</t>
  </si>
  <si>
    <t>Definir capacidades Básico/Premium/Gold para todos los módulos</t>
  </si>
  <si>
    <t>Matriz de hardware soportado</t>
  </si>
  <si>
    <t>Modelo, firmware, SO y certificación de POS/KDS/biometría</t>
  </si>
  <si>
    <t>Runbook de operación</t>
  </si>
  <si>
    <t>Monitoreo, incidentes, respaldo, restauración, secretos y escalamiento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</si>
</sst>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ont>
    <font>
      <i/>
      <sz val="10"/>
      <color rgb="FF555555"/>
      <name val="Arial"/>
    </font>
    <font>
      <b/>
      <sz val="10"/>
      <color rgb="FFFFFFFF"/>
      <name val="Arial"/>
    </font>
    <font>
      <b/>
      <sz val="9"/>
      <name val="Arial"/>
    </font>
    <font>
      <sz val="9"/>
      <name val="Arial"/>
    </font>
    <font>
      <i/>
      <sz val="10"/>
      <color rgb="FFFFFFFF"/>
      <name val="Arial"/>
    </font>
    <font>
      <b/>
      <sz val="14"/>
      <color rgb="FFFFFFFF"/>
      <name val="Arial"/>
    </font>
    <font>
      <b/>
      <sz val="15"/>
      <color rgb="FFFFFFFF"/>
      <name val="Arial"/>
    </font>
    <font>
      <b/>
      <sz val="15"/>
      <color rgb="FFFFFFFF"/>
      <name val="Calibri"/>
    </font>
    <font>
      <i/>
      <sz val="10"/>
      <color rgb="FFFFFFFF"/>
      <name val="Calibri"/>
    </font>
    <font>
      <b/>
      <sz val="11"/>
      <color rgb="FFFFFFFF"/>
      <name val="Calibri"/>
    </font>
    <font>
      <b/>
      <sz val="9"/>
      <color rgb="FF17365D"/>
      <name val="Arial"/>
    </font>
    <font>
      <b/>
      <sz val="11"/>
      <color rgb="FF17365D"/>
      <name val="Calibri"/>
    </font>
    <font>
      <b/>
      <sz val="14"/>
      <color rgb="FFFFFFFF"/>
      <name val="Calibri"/>
    </font>
    <font>
      <sz val="9"/>
      <color rgb="FF1F2937"/>
      <name val="Arial"/>
    </font>
    <font>
      <sz val="9"/>
      <color rgb="FF1F2937"/>
      <name val="Calibri"/>
    </font>
    <font>
      <b/>
      <sz val="10"/>
      <color rgb="FF17365D"/>
      <name val="Arial"/>
    </font>
    <font>
      <b/>
      <sz val="9"/>
      <color rgb="FF17365D"/>
      <name val="Calibri"/>
    </font>
    <font>
      <sz val="9"/>
      <color rgb="FF1F2937"/>
      <name val="Arial"/>
    </font>
    <font>
      <sz val="9"/>
      <color rgb="FF1F2937"/>
      <name val="Calibri"/>
    </font>
  </fonts>
  <fills count="13">
    <fill>
      <patternFill patternType="none"/>
    </fill>
    <fill>
      <patternFill patternType="gray125"/>
    </fill>
    <fill>
      <patternFill patternType="solid">
        <fgColor rgb="FFD6EAF8"/>
      </patternFill>
    </fill>
    <fill>
      <patternFill patternType="solid">
        <fgColor rgb="FFFFFFFF"/>
      </patternFill>
    </fill>
    <fill>
      <patternFill patternType="solid">
        <fgColor rgb="FFD5F5E3"/>
      </patternFill>
    </fill>
    <fill>
      <patternFill patternType="solid">
        <fgColor rgb="FFFEF9E7"/>
      </patternFill>
    </fill>
    <fill>
      <patternFill patternType="solid">
        <fgColor rgb="FFFDEDEC"/>
      </patternFill>
    </fill>
    <fill>
      <patternFill patternType="solid">
        <fgColor rgb="FFEBF5FB"/>
      </patternFill>
    </fill>
    <fill>
      <patternFill patternType="solid">
        <fgColor rgb="FFF2F3F4"/>
      </patternFill>
    </fill>
    <fill>
      <patternFill patternType="solid">
        <fgColor rgb="FF17365D"/>
      </patternFill>
    </fill>
    <fill>
      <patternFill patternType="solid">
        <fgColor rgb="FF2E75B6"/>
      </patternFill>
    </fill>
    <fill>
      <patternFill patternType="solid">
        <fgColor rgb="FFD9EAF7"/>
      </patternFill>
    </fill>
    <fill>
      <patternFill patternType="solid">
        <fgColor rgb="FFFFFFFF"/>
      </patternFill>
    </fill>
  </fills>
  <borders count="4">
    <border>
      <left/>
      <right/>
      <top/>
      <bottom/>
      <diagonal/>
    </border>
    <border>
      <left style="thin">
        <color rgb="FFAED6F1"/>
      </left>
      <right style="thin">
        <color rgb="FFAED6F1"/>
      </right>
      <top style="thin">
        <color rgb="FFAED6F1"/>
      </top>
      <bottom style="thin">
        <color rgb="FFAED6F1"/>
      </bottom>
      <diagonal/>
    </border>
    <border>
      <left/>
      <right style="thin">
        <color rgb="FFAED6F1"/>
      </right>
      <top style="thin">
        <color rgb="FFAED6F1"/>
      </top>
      <bottom style="thin">
        <color rgb="FFAED6F1"/>
      </bottom>
      <diagonal/>
    </border>
    <border>
      <left style="thin">
        <color rgb="FF5B8DB8"/>
      </left>
      <right style="thin">
        <color rgb="FF5B8DB8"/>
      </right>
      <top style="thin">
        <color rgb="FF5B8DB8"/>
      </top>
      <bottom style="thin">
        <color rgb="FF5B8DB8"/>
      </bottom>
      <diagonal/>
    </border>
  </borders>
  <cellStyleXfs count="1">
    <xf numFmtId="0" fontId="0" fillId="0" borderId="0"/>
  </cellStyleXfs>
  <cellXfs count="70">
    <xf numFmtId="0" fontId="0" fillId="0" borderId="0" xfId="0"/>
    <xf numFmtId="0" fontId="3" fillId="4" borderId="1" xfId="0" applyNumberFormat="1" applyFont="1" applyFill="1" applyBorder="1" applyAlignment="1">
      <alignment horizontal="center" vertical="center" wrapText="1"/>
    </xf>
    <xf numFmtId="0" fontId="3" fillId="5" borderId="1" xfId="0" applyNumberFormat="1" applyFont="1" applyFill="1" applyBorder="1" applyAlignment="1">
      <alignment horizontal="center" vertical="center" wrapText="1"/>
    </xf>
    <xf numFmtId="0" fontId="3" fillId="6" borderId="1" xfId="0" applyNumberFormat="1" applyFont="1" applyFill="1" applyBorder="1" applyAlignment="1">
      <alignment horizontal="center" vertical="center" wrapText="1"/>
    </xf>
    <xf numFmtId="0" fontId="3" fillId="7" borderId="1" xfId="0" applyNumberFormat="1" applyFont="1" applyFill="1" applyBorder="1" applyAlignment="1">
      <alignment horizontal="center" vertical="center" wrapText="1"/>
    </xf>
    <xf numFmtId="0" fontId="3" fillId="8" borderId="1" xfId="0" applyNumberFormat="1" applyFont="1" applyFill="1" applyBorder="1" applyAlignment="1">
      <alignment horizontal="center" vertical="center" wrapText="1"/>
    </xf>
    <xf numFmtId="0" fontId="10" fillId="9" borderId="0" xfId="0" applyNumberFormat="1" applyFont="1" applyFill="1" applyBorder="1"/>
    <xf numFmtId="0" fontId="0" fillId="0" borderId="0" xfId="0" applyNumberFormat="1" applyFont="1" applyFill="1" applyBorder="1" applyAlignment="1">
      <alignment wrapText="1"/>
    </xf>
    <xf numFmtId="0" fontId="11" fillId="2" borderId="1" xfId="0" applyNumberFormat="1" applyFont="1" applyFill="1" applyBorder="1" applyAlignment="1">
      <alignment horizontal="left" vertical="center" wrapText="1"/>
    </xf>
    <xf numFmtId="0" fontId="0" fillId="0" borderId="0" xfId="0" applyNumberFormat="1" applyFont="1" applyFill="1" applyBorder="1" applyAlignment="1">
      <alignment vertical="center"/>
    </xf>
    <xf numFmtId="0" fontId="0" fillId="0" borderId="0" xfId="0" applyNumberFormat="1" applyFont="1" applyFill="1" applyBorder="1" applyAlignment="1">
      <alignment vertical="center" wrapText="1"/>
    </xf>
    <xf numFmtId="0" fontId="12" fillId="0" borderId="0" xfId="0" applyNumberFormat="1" applyFont="1" applyFill="1" applyBorder="1" applyAlignment="1">
      <alignment vertical="center" wrapText="1"/>
    </xf>
    <xf numFmtId="0" fontId="2" fillId="9" borderId="3" xfId="0" applyNumberFormat="1" applyFont="1" applyFill="1" applyBorder="1" applyAlignment="1">
      <alignment horizontal="center" vertical="center" wrapText="1"/>
    </xf>
    <xf numFmtId="0" fontId="14" fillId="2" borderId="1" xfId="0" applyNumberFormat="1" applyFont="1" applyFill="1" applyBorder="1" applyAlignment="1">
      <alignment horizontal="left" vertical="center" wrapText="1"/>
    </xf>
    <xf numFmtId="0" fontId="14" fillId="2" borderId="1" xfId="0" applyNumberFormat="1" applyFont="1" applyFill="1" applyBorder="1" applyAlignment="1">
      <alignment horizontal="center" vertical="center" wrapText="1"/>
    </xf>
    <xf numFmtId="0" fontId="14" fillId="4" borderId="1" xfId="0" applyNumberFormat="1" applyFont="1" applyFill="1" applyBorder="1" applyAlignment="1">
      <alignment horizontal="center" vertical="center" wrapText="1"/>
    </xf>
    <xf numFmtId="0" fontId="14" fillId="3" borderId="1" xfId="0" applyNumberFormat="1" applyFont="1" applyFill="1" applyBorder="1" applyAlignment="1">
      <alignment horizontal="left" vertical="center" wrapText="1"/>
    </xf>
    <xf numFmtId="0" fontId="14" fillId="3" borderId="1" xfId="0" applyNumberFormat="1" applyFont="1" applyFill="1" applyBorder="1" applyAlignment="1">
      <alignment horizontal="center" vertical="center" wrapText="1"/>
    </xf>
    <xf numFmtId="0" fontId="14" fillId="5" borderId="1" xfId="0" applyNumberFormat="1" applyFont="1" applyFill="1" applyBorder="1" applyAlignment="1">
      <alignment horizontal="center" vertical="center" wrapText="1"/>
    </xf>
    <xf numFmtId="0" fontId="14" fillId="7" borderId="1" xfId="0" applyNumberFormat="1" applyFont="1" applyFill="1" applyBorder="1" applyAlignment="1">
      <alignment horizontal="center" vertical="center" wrapText="1"/>
    </xf>
    <xf numFmtId="0" fontId="15" fillId="0" borderId="0" xfId="0" applyNumberFormat="1" applyFont="1" applyFill="1" applyBorder="1" applyAlignment="1">
      <alignment vertical="center" wrapText="1"/>
    </xf>
    <xf numFmtId="0" fontId="10" fillId="9" borderId="0" xfId="0" applyNumberFormat="1" applyFont="1" applyFill="1" applyBorder="1" applyAlignment="1">
      <alignment horizontal="center" vertical="center" wrapText="1"/>
    </xf>
    <xf numFmtId="0" fontId="16" fillId="11" borderId="1" xfId="0" applyNumberFormat="1" applyFont="1" applyFill="1" applyBorder="1" applyAlignment="1">
      <alignment horizontal="left" vertical="center" wrapText="1"/>
    </xf>
    <xf numFmtId="0" fontId="15" fillId="12" borderId="0" xfId="0" applyNumberFormat="1" applyFont="1" applyFill="1" applyBorder="1" applyAlignment="1">
      <alignment vertical="center" wrapText="1"/>
    </xf>
    <xf numFmtId="9" fontId="15" fillId="12" borderId="0" xfId="0" applyNumberFormat="1" applyFont="1" applyFill="1" applyBorder="1" applyAlignment="1">
      <alignment vertical="center" wrapText="1"/>
    </xf>
    <xf numFmtId="0" fontId="17" fillId="11" borderId="0" xfId="0" applyNumberFormat="1" applyFont="1" applyFill="1" applyBorder="1" applyAlignment="1">
      <alignment vertical="center" wrapText="1"/>
    </xf>
    <xf numFmtId="9" fontId="17" fillId="11" borderId="0" xfId="0" applyNumberFormat="1" applyFont="1" applyFill="1" applyBorder="1" applyAlignment="1">
      <alignment vertical="center" wrapText="1"/>
    </xf>
    <xf numFmtId="0" fontId="18" fillId="11" borderId="1" xfId="0" applyNumberFormat="1" applyFont="1" applyFill="1" applyBorder="1" applyAlignment="1">
      <alignment horizontal="left" vertical="center" wrapText="1"/>
    </xf>
    <xf numFmtId="0" fontId="18" fillId="11" borderId="1" xfId="0" applyNumberFormat="1" applyFont="1" applyFill="1" applyBorder="1" applyAlignment="1">
      <alignment horizontal="center" vertical="center" wrapText="1"/>
    </xf>
    <xf numFmtId="9" fontId="18" fillId="11" borderId="1" xfId="0" applyNumberFormat="1" applyFont="1" applyFill="1" applyBorder="1" applyAlignment="1">
      <alignment horizontal="center" vertical="center" wrapText="1"/>
    </xf>
    <xf numFmtId="0" fontId="18" fillId="12" borderId="1" xfId="0" applyNumberFormat="1" applyFont="1" applyFill="1" applyBorder="1" applyAlignment="1">
      <alignment horizontal="left" vertical="center" wrapText="1"/>
    </xf>
    <xf numFmtId="0" fontId="18" fillId="12" borderId="1" xfId="0" applyNumberFormat="1" applyFont="1" applyFill="1" applyBorder="1" applyAlignment="1">
      <alignment horizontal="center" vertical="center" wrapText="1"/>
    </xf>
    <xf numFmtId="9" fontId="18" fillId="12" borderId="1" xfId="0" applyNumberFormat="1" applyFont="1" applyFill="1" applyBorder="1" applyAlignment="1">
      <alignment horizontal="center" vertical="center" wrapText="1"/>
    </xf>
    <xf numFmtId="0" fontId="18" fillId="11" borderId="3" xfId="0" applyNumberFormat="1" applyFont="1" applyFill="1" applyBorder="1" applyAlignment="1">
      <alignment horizontal="center" vertical="center" wrapText="1"/>
    </xf>
    <xf numFmtId="9" fontId="18" fillId="11" borderId="3" xfId="0" applyNumberFormat="1" applyFont="1" applyFill="1" applyBorder="1" applyAlignment="1">
      <alignment horizontal="center" vertical="center" wrapText="1"/>
    </xf>
    <xf numFmtId="0" fontId="19" fillId="12" borderId="0" xfId="0" applyNumberFormat="1" applyFont="1" applyFill="1" applyBorder="1" applyAlignment="1">
      <alignment vertical="center" wrapText="1"/>
    </xf>
    <xf numFmtId="9" fontId="19" fillId="12" borderId="0" xfId="0" applyNumberFormat="1" applyFont="1" applyFill="1" applyBorder="1" applyAlignment="1">
      <alignment vertical="center" wrapText="1"/>
    </xf>
    <xf numFmtId="0" fontId="18" fillId="11" borderId="0" xfId="0" applyNumberFormat="1" applyFont="1" applyFill="1" applyBorder="1" applyAlignment="1">
      <alignment horizontal="center" vertical="center" wrapText="1"/>
    </xf>
    <xf numFmtId="0" fontId="19" fillId="11" borderId="0" xfId="0" applyNumberFormat="1" applyFont="1" applyFill="1" applyBorder="1" applyAlignment="1">
      <alignment vertical="center" wrapText="1"/>
    </xf>
    <xf numFmtId="9" fontId="19" fillId="11" borderId="0" xfId="0" applyNumberFormat="1" applyFont="1" applyFill="1" applyBorder="1" applyAlignment="1">
      <alignment vertical="center" wrapText="1"/>
    </xf>
    <xf numFmtId="0" fontId="18" fillId="12" borderId="3" xfId="0" applyNumberFormat="1" applyFont="1" applyFill="1" applyBorder="1" applyAlignment="1">
      <alignment horizontal="center" vertical="center" wrapText="1"/>
    </xf>
    <xf numFmtId="9" fontId="18" fillId="12" borderId="3" xfId="0" applyNumberFormat="1" applyFont="1" applyFill="1" applyBorder="1" applyAlignment="1">
      <alignment horizontal="center" vertical="center" wrapText="1"/>
    </xf>
    <xf numFmtId="9" fontId="18" fillId="11" borderId="1" xfId="0" applyNumberFormat="1" applyFont="1" applyFill="1" applyBorder="1" applyAlignment="1">
      <alignment horizontal="left" vertical="center" wrapText="1"/>
    </xf>
    <xf numFmtId="9" fontId="18" fillId="12" borderId="1" xfId="0" applyNumberFormat="1" applyFont="1" applyFill="1" applyBorder="1" applyAlignment="1">
      <alignment horizontal="left" vertical="center" wrapText="1"/>
    </xf>
    <xf numFmtId="0" fontId="1" fillId="12" borderId="1" xfId="0" applyNumberFormat="1" applyFont="1" applyFill="1" applyBorder="1" applyAlignment="1">
      <alignment horizontal="left" vertical="center" wrapText="1"/>
    </xf>
    <xf numFmtId="0" fontId="0" fillId="12" borderId="2" xfId="0" applyNumberFormat="1" applyFont="1" applyFill="1" applyBorder="1"/>
    <xf numFmtId="0" fontId="4" fillId="3" borderId="1" xfId="0" applyNumberFormat="1" applyFont="1" applyFill="1" applyBorder="1" applyAlignment="1">
      <alignment horizontal="left" vertical="center" wrapText="1"/>
    </xf>
    <xf numFmtId="0" fontId="0" fillId="0" borderId="2" xfId="0" applyNumberFormat="1" applyFont="1" applyFill="1" applyBorder="1" applyAlignment="1">
      <alignment wrapText="1"/>
    </xf>
    <xf numFmtId="0" fontId="4" fillId="7" borderId="1" xfId="0" applyNumberFormat="1" applyFont="1" applyFill="1" applyBorder="1" applyAlignment="1">
      <alignment horizontal="left" vertical="center" wrapText="1"/>
    </xf>
    <xf numFmtId="0" fontId="2" fillId="9" borderId="0" xfId="0" applyNumberFormat="1" applyFont="1" applyFill="1" applyBorder="1" applyAlignment="1">
      <alignment horizontal="center" vertical="center" wrapText="1"/>
    </xf>
    <xf numFmtId="0" fontId="10" fillId="9" borderId="0" xfId="0" applyNumberFormat="1" applyFont="1" applyFill="1" applyBorder="1" applyAlignment="1">
      <alignment horizontal="center" vertical="center" wrapText="1"/>
    </xf>
    <xf numFmtId="0" fontId="10" fillId="9" borderId="0" xfId="0" applyNumberFormat="1" applyFont="1" applyFill="1" applyBorder="1" applyAlignment="1">
      <alignment horizontal="center"/>
    </xf>
    <xf numFmtId="0" fontId="7" fillId="9" borderId="0" xfId="0" applyNumberFormat="1" applyFont="1" applyFill="1" applyBorder="1" applyAlignment="1">
      <alignment horizontal="center" vertical="center" wrapText="1"/>
    </xf>
    <xf numFmtId="0" fontId="8" fillId="9" borderId="0" xfId="0" applyNumberFormat="1" applyFont="1" applyFill="1" applyBorder="1" applyAlignment="1">
      <alignment horizontal="center" vertical="center"/>
    </xf>
    <xf numFmtId="0" fontId="4" fillId="8" borderId="1" xfId="0" applyNumberFormat="1" applyFont="1" applyFill="1" applyBorder="1" applyAlignment="1">
      <alignment horizontal="left" vertical="center" wrapText="1"/>
    </xf>
    <xf numFmtId="0" fontId="5" fillId="10" borderId="0" xfId="0" applyNumberFormat="1" applyFont="1" applyFill="1" applyBorder="1" applyAlignment="1">
      <alignment horizontal="center" vertical="center" wrapText="1"/>
    </xf>
    <xf numFmtId="0" fontId="9" fillId="10" borderId="0" xfId="0" applyNumberFormat="1" applyFont="1" applyFill="1" applyBorder="1" applyAlignment="1">
      <alignment horizontal="center" vertical="center"/>
    </xf>
    <xf numFmtId="0" fontId="9" fillId="10" borderId="0" xfId="0" applyNumberFormat="1" applyFont="1" applyFill="1" applyBorder="1" applyAlignment="1">
      <alignment horizontal="center"/>
    </xf>
    <xf numFmtId="0" fontId="4" fillId="4" borderId="1" xfId="0" applyNumberFormat="1" applyFont="1" applyFill="1" applyBorder="1" applyAlignment="1">
      <alignment horizontal="left" vertical="center" wrapText="1"/>
    </xf>
    <xf numFmtId="0" fontId="10" fillId="9" borderId="0" xfId="0" applyNumberFormat="1" applyFont="1" applyFill="1" applyBorder="1" applyAlignment="1">
      <alignment horizontal="center" vertical="center"/>
    </xf>
    <xf numFmtId="0" fontId="4" fillId="6" borderId="1" xfId="0" applyNumberFormat="1" applyFont="1" applyFill="1" applyBorder="1" applyAlignment="1">
      <alignment horizontal="left" vertical="center" wrapText="1"/>
    </xf>
    <xf numFmtId="0" fontId="4" fillId="5" borderId="1" xfId="0" applyNumberFormat="1" applyFont="1" applyFill="1" applyBorder="1" applyAlignment="1">
      <alignment horizontal="left" vertical="center" wrapText="1"/>
    </xf>
    <xf numFmtId="0" fontId="10" fillId="9" borderId="0" xfId="0" applyNumberFormat="1" applyFont="1" applyFill="1" applyBorder="1" applyAlignment="1">
      <alignment vertical="center"/>
    </xf>
    <xf numFmtId="0" fontId="0" fillId="0" borderId="0" xfId="0" applyNumberFormat="1" applyFont="1" applyFill="1" applyBorder="1" applyAlignment="1">
      <alignment vertical="center" wrapText="1"/>
    </xf>
    <xf numFmtId="0" fontId="0" fillId="0" borderId="0" xfId="0" applyNumberFormat="1" applyFont="1" applyFill="1" applyBorder="1" applyAlignment="1">
      <alignment wrapText="1"/>
    </xf>
    <xf numFmtId="0" fontId="6" fillId="9" borderId="0" xfId="0" applyNumberFormat="1" applyFont="1" applyFill="1" applyBorder="1" applyAlignment="1">
      <alignment horizontal="center" vertical="center" wrapText="1"/>
    </xf>
    <xf numFmtId="0" fontId="13" fillId="9" borderId="0" xfId="0" applyNumberFormat="1" applyFont="1" applyFill="1" applyBorder="1" applyAlignment="1">
      <alignment horizontal="center" vertical="center"/>
    </xf>
    <xf numFmtId="0" fontId="9" fillId="10" borderId="0" xfId="0" applyNumberFormat="1" applyFont="1" applyFill="1" applyBorder="1"/>
    <xf numFmtId="0" fontId="8" fillId="9" borderId="0" xfId="0" applyNumberFormat="1" applyFont="1" applyFill="1" applyBorder="1"/>
    <xf numFmtId="0" fontId="10" fillId="9" borderId="0" xfId="0" applyNumberFormat="1" applyFont="1" applyFill="1" applyBorder="1"/>
  </cellXfs>
  <cellStyles count="1">
    <cellStyle name="Normal" xfId="0" builtinId="0"/>
  </cellStyles>
  <dxfs count="88">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FFF2CC"/>
        </patternFill>
      </fill>
    </dxf>
    <dxf>
      <fill>
        <patternFill patternType="solid">
          <bgColor rgb="FFD9EAF7"/>
        </patternFill>
      </fill>
    </dxf>
    <dxf>
      <fill>
        <patternFill patternType="solid">
          <bgColor rgb="FFE2F0D9"/>
        </patternFill>
      </fill>
    </dxf>
    <dxf>
      <fill>
        <patternFill patternType="solid">
          <bgColor rgb="FFE2F0D9"/>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ES"/>
              <a:t>Requerimientos funcionales por módulo</a:t>
            </a:r>
          </a:p>
        </c:rich>
      </c:tx>
      <c:overlay val="1"/>
    </c:title>
    <c:autoTitleDeleted val="0"/>
    <c:plotArea>
      <c:layout/>
      <c:barChart>
        <c:barDir val="bar"/>
        <c:grouping val="clustered"/>
        <c:varyColors val="0"/>
        <c:ser>
          <c:idx val="0"/>
          <c:order val="0"/>
          <c:tx>
            <c:v>Total RF</c:v>
          </c:tx>
          <c:invertIfNegative val="1"/>
          <c:cat>
            <c:strRef>
              <c:f>'RESUMEN ESTADO'!$B$5:$B$21</c:f>
              <c:strCache>
                <c:ptCount val="17"/>
                <c:pt idx="0">
                  <c:v>Autenticación y Control de Acceso</c:v>
                </c:pt>
                <c:pt idx="1">
                  <c:v>Registro y Gestión de Personal</c:v>
                </c:pt>
                <c:pt idx="2">
                  <c:v>Configuración, Sucursales e Integraciones</c:v>
                </c:pt>
                <c:pt idx="3">
                  <c:v>Gestión de Mesas y Salón</c:v>
                </c:pt>
                <c:pt idx="4">
                  <c:v>Catálogo, Menú, Precios y Disponibilidad</c:v>
                </c:pt>
                <c:pt idx="5">
                  <c:v>Gestión de Órdenes</c:v>
                </c:pt>
                <c:pt idx="6">
                  <c:v>Pantallas de Cocina (KDS)</c:v>
                </c:pt>
                <c:pt idx="7">
                  <c:v>Enrutamiento Central de Pedidos</c:v>
                </c:pt>
                <c:pt idx="8">
                  <c:v>Gestión de Pagos (POS y Backoffice)</c:v>
                </c:pt>
                <c:pt idx="9">
                  <c:v>Compras y Proveedores</c:v>
                </c:pt>
                <c:pt idx="10">
                  <c:v>Inventarios y Recetas</c:v>
                </c:pt>
                <c:pt idx="11">
                  <c:v>Reservaciones y Lista de Espera</c:v>
                </c:pt>
                <c:pt idx="12">
                  <c:v>Delivery, Pedidos Online y Repartidores</c:v>
                </c:pt>
                <c:pt idx="13">
                  <c:v>Turnos, Horarios y Propinas</c:v>
                </c:pt>
                <c:pt idx="14">
                  <c:v>Reportes, Business Intelligence y Analítica</c:v>
                </c:pt>
                <c:pt idx="15">
                  <c:v>Menú Digital QR y Auto-Pedido</c:v>
                </c:pt>
                <c:pt idx="16">
                  <c:v>Fidelización, CRM y Marketing</c:v>
                </c:pt>
              </c:strCache>
            </c:strRef>
          </c:cat>
          <c:val>
            <c:numRef>
              <c:f>'RESUMEN ESTADO'!$C$5:$C$21</c:f>
              <c:numCache>
                <c:formatCode>General</c:formatCode>
                <c:ptCount val="17"/>
                <c:pt idx="0">
                  <c:v>12</c:v>
                </c:pt>
                <c:pt idx="1">
                  <c:v>5</c:v>
                </c:pt>
                <c:pt idx="2">
                  <c:v>4</c:v>
                </c:pt>
                <c:pt idx="3">
                  <c:v>9</c:v>
                </c:pt>
                <c:pt idx="4">
                  <c:v>6</c:v>
                </c:pt>
                <c:pt idx="5">
                  <c:v>8</c:v>
                </c:pt>
                <c:pt idx="6">
                  <c:v>7</c:v>
                </c:pt>
                <c:pt idx="7">
                  <c:v>4</c:v>
                </c:pt>
                <c:pt idx="8">
                  <c:v>11</c:v>
                </c:pt>
                <c:pt idx="9">
                  <c:v>5</c:v>
                </c:pt>
                <c:pt idx="10">
                  <c:v>11</c:v>
                </c:pt>
                <c:pt idx="11">
                  <c:v>8</c:v>
                </c:pt>
                <c:pt idx="12">
                  <c:v>9</c:v>
                </c:pt>
                <c:pt idx="13">
                  <c:v>8</c:v>
                </c:pt>
                <c:pt idx="14">
                  <c:v>8</c:v>
                </c:pt>
                <c:pt idx="15">
                  <c:v>7</c:v>
                </c:pt>
                <c:pt idx="16">
                  <c:v>9</c:v>
                </c:pt>
              </c:numCache>
            </c:numRef>
          </c:val>
          <c:extLst>
            <c:ext xmlns:c16="http://schemas.microsoft.com/office/drawing/2014/chart" uri="{C3380CC4-5D6E-409C-BE32-E72D297353CC}">
              <c16:uniqueId val="{00000000-0A01-47C0-8E1A-9E4CEBFE44A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0</xdr:rowOff>
    </xdr:from>
    <xdr:to>
      <xdr:col>17</xdr:col>
      <xdr:colOff>0</xdr:colOff>
      <xdr:row>22</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FCU" displayName="TblRFCU" ref="A3:I134" totalsRowShown="0">
  <tableColumns count="9">
    <tableColumn id="1" xr3:uid="{00000000-0010-0000-0000-000001000000}" name="ID Requerimiento Funcional"/>
    <tableColumn id="2" xr3:uid="{00000000-0010-0000-0000-000002000000}" name="Nombre del RF"/>
    <tableColumn id="3" xr3:uid="{00000000-0010-0000-0000-000003000000}" name="Módulo / Subsistema"/>
    <tableColumn id="4" xr3:uid="{00000000-0010-0000-0000-000004000000}" name="ID Caso de Uso"/>
    <tableColumn id="5" xr3:uid="{00000000-0010-0000-0000-000005000000}" name="Nombre del Caso de Uso"/>
    <tableColumn id="6" xr3:uid="{00000000-0010-0000-0000-000006000000}" name="Actor Principal"/>
    <tableColumn id="7" xr3:uid="{00000000-0010-0000-0000-000007000000}" name="Prioridad RF"/>
    <tableColumn id="8" xr3:uid="{00000000-0010-0000-0000-000008000000}" name="Estado Trazabilidad"/>
    <tableColumn id="9" xr3:uid="{00000000-0010-0000-0000-000009000000}" name="Observacion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RFRNF" displayName="TblRFRNF" ref="A3:K786" totalsRowShown="0">
  <tableColumns count="11">
    <tableColumn id="1" xr3:uid="{00000000-0010-0000-0100-000001000000}" name="ID RF"/>
    <tableColumn id="2" xr3:uid="{00000000-0010-0000-0100-000002000000}" name="Nombre RF"/>
    <tableColumn id="3" xr3:uid="{00000000-0010-0000-0100-000003000000}" name="ID RNF"/>
    <tableColumn id="4" xr3:uid="{00000000-0010-0000-0100-000004000000}" name="Nombre RNF"/>
    <tableColumn id="5" xr3:uid="{00000000-0010-0000-0100-000005000000}" name="Categoría ISO/IEC 25010"/>
    <tableColumn id="6" xr3:uid="{00000000-0010-0000-0100-000006000000}" name="Descripción del Vínculo"/>
    <tableColumn id="7" xr3:uid="{00000000-0010-0000-0100-000007000000}" name="Prioridad RF"/>
    <tableColumn id="8" xr3:uid="{00000000-0010-0000-0100-000008000000}" name="Prioridad RNF"/>
    <tableColumn id="9" xr3:uid="{00000000-0010-0000-0100-000009000000}" name="Estado Enlace RF"/>
    <tableColumn id="10" xr3:uid="{00000000-0010-0000-0100-00000A000000}" name="Estado RNF"/>
    <tableColumn id="11" xr3:uid="{00000000-0010-0000-0100-00000B000000}" name="Observacion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RFCP" displayName="TblRFCP" ref="A3:M134" totalsRowShown="0">
  <tableColumns count="13">
    <tableColumn id="1" xr3:uid="{00000000-0010-0000-0200-000001000000}" name="ID RF"/>
    <tableColumn id="2" xr3:uid="{00000000-0010-0000-0200-000002000000}" name="Nombre RF"/>
    <tableColumn id="3" xr3:uid="{00000000-0010-0000-0200-000003000000}" name="ID Caso de Prueba"/>
    <tableColumn id="4" xr3:uid="{00000000-0010-0000-0200-000004000000}" name="Nombre del Caso de Prueba"/>
    <tableColumn id="5" xr3:uid="{00000000-0010-0000-0200-000005000000}" name="Tipo de Prueba"/>
    <tableColumn id="6" xr3:uid="{00000000-0010-0000-0200-000006000000}" name="Precondición"/>
    <tableColumn id="7" xr3:uid="{00000000-0010-0000-0200-000007000000}" name="Datos de Entrada"/>
    <tableColumn id="8" xr3:uid="{00000000-0010-0000-0200-000008000000}" name="Resultado Esperado"/>
    <tableColumn id="9" xr3:uid="{00000000-0010-0000-0200-000009000000}" name="Resultado Obtenido"/>
    <tableColumn id="10" xr3:uid="{00000000-0010-0000-0200-00000A000000}" name="Prioridad"/>
    <tableColumn id="11" xr3:uid="{00000000-0010-0000-0200-00000B000000}" name="Estado"/>
    <tableColumn id="12" xr3:uid="{00000000-0010-0000-0200-00000C000000}" name="Responsable QA"/>
    <tableColumn id="13" xr3:uid="{00000000-0010-0000-0200-00000D000000}" name="Observacion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MatrizCompleta" displayName="TblMatrizCompleta" ref="A3:M134" totalsRowShown="0">
  <tableColumns count="13">
    <tableColumn id="1" xr3:uid="{00000000-0010-0000-0300-000001000000}" name="ID RF"/>
    <tableColumn id="2" xr3:uid="{00000000-0010-0000-0300-000002000000}" name="Nombre RF"/>
    <tableColumn id="3" xr3:uid="{00000000-0010-0000-0300-000003000000}" name="Módulo"/>
    <tableColumn id="4" xr3:uid="{00000000-0010-0000-0300-000004000000}" name="Prioridad RF"/>
    <tableColumn id="5" xr3:uid="{00000000-0010-0000-0300-000005000000}" name="ID Caso de Uso"/>
    <tableColumn id="6" xr3:uid="{00000000-0010-0000-0300-000006000000}" name="ID RNF relacionados"/>
    <tableColumn id="7" xr3:uid="{00000000-0010-0000-0300-000007000000}" name="Categorías RNF"/>
    <tableColumn id="8" xr3:uid="{00000000-0010-0000-0300-000008000000}" name="ID Caso de Prueba"/>
    <tableColumn id="9" xr3:uid="{00000000-0010-0000-0300-000009000000}" name="Tipo de Prueba"/>
    <tableColumn id="10" xr3:uid="{00000000-0010-0000-0300-00000A000000}" name="Estado RF"/>
    <tableColumn id="11" xr3:uid="{00000000-0010-0000-0300-00000B000000}" name="Estado CU"/>
    <tableColumn id="12" xr3:uid="{00000000-0010-0000-0300-00000C000000}" name="Estado CP"/>
    <tableColumn id="13" xr3:uid="{00000000-0010-0000-0300-00000D000000}" name="Observacion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RFBPMN" displayName="TblRFBPMN" ref="A3:J134" totalsRowShown="0">
  <tableColumns count="10">
    <tableColumn id="1" xr3:uid="{00000000-0010-0000-0400-000001000000}" name="ID RF"/>
    <tableColumn id="2" xr3:uid="{00000000-0010-0000-0400-000002000000}" name="ID CU"/>
    <tableColumn id="3" xr3:uid="{00000000-0010-0000-0400-000003000000}" name="Módulo"/>
    <tableColumn id="4" xr3:uid="{00000000-0010-0000-0400-000004000000}" name="ID Proceso BPMN"/>
    <tableColumn id="5" xr3:uid="{00000000-0010-0000-0400-000005000000}" name="Proceso"/>
    <tableColumn id="6" xr3:uid="{00000000-0010-0000-0400-000006000000}" name="Actividad vinculada"/>
    <tableColumn id="7" xr3:uid="{00000000-0010-0000-0400-000007000000}" name="Carril / Actor"/>
    <tableColumn id="8" xr3:uid="{00000000-0010-0000-0400-000008000000}" name="Tipo BPMN"/>
    <tableColumn id="9" xr3:uid="{00000000-0010-0000-0400-000009000000}" name="Estado"/>
    <tableColumn id="10" xr3:uid="{00000000-0010-0000-0400-00000A000000}" name="Observacion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CatalogoRNF" displayName="TblCatalogoRNF" ref="A3:G25" totalsRowShown="0">
  <tableColumns count="7">
    <tableColumn id="1" xr3:uid="{00000000-0010-0000-0500-000001000000}" name="ID RNF"/>
    <tableColumn id="2" xr3:uid="{00000000-0010-0000-0500-000002000000}" name="Nombre / Categoría"/>
    <tableColumn id="3" xr3:uid="{00000000-0010-0000-0500-000003000000}" name="Categoría ISO/IEC 25010"/>
    <tableColumn id="4" xr3:uid="{00000000-0010-0000-0500-000004000000}" name="Descripción"/>
    <tableColumn id="5" xr3:uid="{00000000-0010-0000-0500-000005000000}" name="Prioridad Propuesta"/>
    <tableColumn id="6" xr3:uid="{00000000-0010-0000-0500-000006000000}" name="Estado"/>
    <tableColumn id="7" xr3:uid="{00000000-0010-0000-0500-000007000000}" name="Observacion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Modulos" displayName="TblModulos" ref="A3:J20" totalsRowShown="0">
  <tableColumns count="10">
    <tableColumn id="1" xr3:uid="{00000000-0010-0000-0600-000001000000}" name="Código"/>
    <tableColumn id="2" xr3:uid="{00000000-0010-0000-0600-000002000000}" name="Módulo / Subsistema"/>
    <tableColumn id="3" xr3:uid="{00000000-0010-0000-0600-000003000000}" name="Total RF"/>
    <tableColumn id="4" xr3:uid="{00000000-0010-0000-0600-000004000000}" name="RF Base v1.0"/>
    <tableColumn id="5" xr3:uid="{00000000-0010-0000-0600-000005000000}" name="RF Brecha v2.0"/>
    <tableColumn id="6" xr3:uid="{00000000-0010-0000-0600-000006000000}" name="Prioridad Alta"/>
    <tableColumn id="7" xr3:uid="{00000000-0010-0000-0600-000007000000}" name="Prioridad Media"/>
    <tableColumn id="8" xr3:uid="{00000000-0010-0000-0600-000008000000}" name="Prioridad Baja"/>
    <tableColumn id="9" xr3:uid="{00000000-0010-0000-0600-000009000000}" name="Proceso BPMN"/>
    <tableColumn id="10" xr3:uid="{00000000-0010-0000-0600-00000A000000}" name="Cobertura Documental"/>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RiesgosRUP" displayName="TblRiesgosRUP" ref="A5:E13" totalsRowShown="0">
  <tableColumns count="5">
    <tableColumn id="1" xr3:uid="{00000000-0010-0000-0700-000001000000}" name="ID"/>
    <tableColumn id="2" xr3:uid="{00000000-0010-0000-0700-000002000000}" name="Riesgo / decisión"/>
    <tableColumn id="3" xr3:uid="{00000000-0010-0000-0700-000003000000}" name="Impacto"/>
    <tableColumn id="4" xr3:uid="{00000000-0010-0000-0700-000004000000}" name="Acción requerida"/>
    <tableColumn id="5" xr3:uid="{00000000-0010-0000-0700-000005000000}" name="Estado"/>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ArtefactosRUP" displayName="TblArtefactosRUP" ref="A16:D29" totalsRowShown="0">
  <tableColumns count="4">
    <tableColumn id="1" xr3:uid="{00000000-0010-0000-0800-000001000000}" name="Artefacto"/>
    <tableColumn id="2" xr3:uid="{00000000-0010-0000-0800-000002000000}" name="Estado"/>
    <tableColumn id="3" xr3:uid="{00000000-0010-0000-0800-000003000000}" name="Cobertura / Acción"/>
    <tableColumn id="4" xr3:uid="{00000000-0010-0000-0800-000004000000}" name="Referenci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40"/>
  <sheetViews>
    <sheetView showGridLines="0" topLeftCell="A37" workbookViewId="0"/>
  </sheetViews>
  <sheetFormatPr baseColWidth="10" defaultColWidth="9.140625" defaultRowHeight="15" x14ac:dyDescent="0.25"/>
  <cols>
    <col min="1" max="1" width="2" customWidth="1"/>
    <col min="2" max="2" width="34" customWidth="1"/>
    <col min="3" max="4" width="38" customWidth="1"/>
    <col min="5" max="5" width="2" customWidth="1"/>
  </cols>
  <sheetData>
    <row r="1" spans="2:4" x14ac:dyDescent="0.25">
      <c r="B1" s="9"/>
      <c r="C1" s="9"/>
    </row>
    <row r="2" spans="2:4" ht="36" customHeight="1" x14ac:dyDescent="0.25">
      <c r="B2" s="52" t="s">
        <v>0</v>
      </c>
      <c r="C2" s="53"/>
      <c r="D2" s="53"/>
    </row>
    <row r="3" spans="2:4" ht="36" customHeight="1" x14ac:dyDescent="0.25">
      <c r="B3" s="53"/>
      <c r="C3" s="53"/>
      <c r="D3" s="53"/>
    </row>
    <row r="4" spans="2:4" ht="21.95" customHeight="1" x14ac:dyDescent="0.25">
      <c r="B4" s="55" t="s">
        <v>1</v>
      </c>
      <c r="C4" s="56"/>
      <c r="D4" s="57"/>
    </row>
    <row r="5" spans="2:4" x14ac:dyDescent="0.25">
      <c r="B5" s="9"/>
      <c r="C5" s="9"/>
    </row>
    <row r="6" spans="2:4" ht="18" customHeight="1" x14ac:dyDescent="0.25">
      <c r="B6" s="22" t="s">
        <v>2</v>
      </c>
      <c r="C6" s="44" t="s">
        <v>3</v>
      </c>
      <c r="D6" s="45"/>
    </row>
    <row r="7" spans="2:4" ht="18" customHeight="1" x14ac:dyDescent="0.25">
      <c r="B7" s="22" t="s">
        <v>4</v>
      </c>
      <c r="C7" s="44" t="s">
        <v>5</v>
      </c>
      <c r="D7" s="45"/>
    </row>
    <row r="8" spans="2:4" ht="18" customHeight="1" x14ac:dyDescent="0.25">
      <c r="B8" s="22" t="s">
        <v>6</v>
      </c>
      <c r="C8" s="44" t="s">
        <v>7</v>
      </c>
      <c r="D8" s="45"/>
    </row>
    <row r="9" spans="2:4" ht="18" customHeight="1" x14ac:dyDescent="0.25">
      <c r="B9" s="22" t="s">
        <v>8</v>
      </c>
      <c r="C9" s="44" t="s">
        <v>9</v>
      </c>
      <c r="D9" s="45"/>
    </row>
    <row r="10" spans="2:4" ht="18" customHeight="1" x14ac:dyDescent="0.25">
      <c r="B10" s="22" t="s">
        <v>10</v>
      </c>
      <c r="C10" s="44" t="s">
        <v>11</v>
      </c>
      <c r="D10" s="45"/>
    </row>
    <row r="11" spans="2:4" ht="18" customHeight="1" x14ac:dyDescent="0.25">
      <c r="B11" s="22" t="s">
        <v>12</v>
      </c>
      <c r="C11" s="44" t="s">
        <v>13</v>
      </c>
      <c r="D11" s="45"/>
    </row>
    <row r="12" spans="2:4" ht="18" customHeight="1" x14ac:dyDescent="0.25">
      <c r="B12" s="22" t="s">
        <v>14</v>
      </c>
      <c r="C12" s="44" t="s">
        <v>15</v>
      </c>
      <c r="D12" s="45"/>
    </row>
    <row r="13" spans="2:4" ht="18" customHeight="1" x14ac:dyDescent="0.25">
      <c r="B13" s="22" t="s">
        <v>16</v>
      </c>
      <c r="C13" s="44" t="s">
        <v>17</v>
      </c>
      <c r="D13" s="45"/>
    </row>
    <row r="14" spans="2:4" x14ac:dyDescent="0.25">
      <c r="B14" s="9"/>
      <c r="C14" s="9"/>
    </row>
    <row r="15" spans="2:4" x14ac:dyDescent="0.25">
      <c r="B15" s="9"/>
      <c r="C15" s="9"/>
    </row>
    <row r="16" spans="2:4" ht="18" customHeight="1" x14ac:dyDescent="0.25">
      <c r="B16" s="49" t="s">
        <v>18</v>
      </c>
      <c r="C16" s="59"/>
      <c r="D16" s="51"/>
    </row>
    <row r="17" spans="2:4" ht="15.95" customHeight="1" x14ac:dyDescent="0.25">
      <c r="B17" s="1" t="s">
        <v>19</v>
      </c>
      <c r="C17" s="58" t="s">
        <v>20</v>
      </c>
      <c r="D17" s="47"/>
    </row>
    <row r="18" spans="2:4" ht="15.95" customHeight="1" x14ac:dyDescent="0.25">
      <c r="B18" s="2" t="s">
        <v>21</v>
      </c>
      <c r="C18" s="61" t="s">
        <v>22</v>
      </c>
      <c r="D18" s="47"/>
    </row>
    <row r="19" spans="2:4" ht="15.95" customHeight="1" x14ac:dyDescent="0.25">
      <c r="B19" s="3" t="s">
        <v>23</v>
      </c>
      <c r="C19" s="60" t="s">
        <v>24</v>
      </c>
      <c r="D19" s="47"/>
    </row>
    <row r="20" spans="2:4" ht="15.95" customHeight="1" x14ac:dyDescent="0.25">
      <c r="B20" s="4" t="s">
        <v>25</v>
      </c>
      <c r="C20" s="48" t="s">
        <v>26</v>
      </c>
      <c r="D20" s="47"/>
    </row>
    <row r="21" spans="2:4" ht="15.95" customHeight="1" x14ac:dyDescent="0.25">
      <c r="B21" s="5" t="s">
        <v>27</v>
      </c>
      <c r="C21" s="54" t="s">
        <v>28</v>
      </c>
      <c r="D21" s="47"/>
    </row>
    <row r="22" spans="2:4" ht="30" x14ac:dyDescent="0.25">
      <c r="B22" s="10" t="s">
        <v>29</v>
      </c>
      <c r="C22" s="10" t="s">
        <v>30</v>
      </c>
      <c r="D22" s="7"/>
    </row>
    <row r="23" spans="2:4" x14ac:dyDescent="0.25">
      <c r="B23" s="10"/>
      <c r="C23" s="10"/>
    </row>
    <row r="24" spans="2:4" ht="18" customHeight="1" x14ac:dyDescent="0.25">
      <c r="B24" s="49" t="s">
        <v>31</v>
      </c>
      <c r="C24" s="50"/>
      <c r="D24" s="51"/>
    </row>
    <row r="25" spans="2:4" ht="15.95" customHeight="1" x14ac:dyDescent="0.25">
      <c r="B25" s="8" t="s">
        <v>32</v>
      </c>
      <c r="C25" s="46" t="s">
        <v>33</v>
      </c>
      <c r="D25" s="47"/>
    </row>
    <row r="26" spans="2:4" ht="15.95" customHeight="1" x14ac:dyDescent="0.25">
      <c r="B26" s="8" t="s">
        <v>34</v>
      </c>
      <c r="C26" s="46" t="s">
        <v>35</v>
      </c>
      <c r="D26" s="47"/>
    </row>
    <row r="27" spans="2:4" ht="15.95" customHeight="1" x14ac:dyDescent="0.25">
      <c r="B27" s="8" t="s">
        <v>36</v>
      </c>
      <c r="C27" s="46" t="s">
        <v>37</v>
      </c>
      <c r="D27" s="47"/>
    </row>
    <row r="28" spans="2:4" ht="15.95" customHeight="1" x14ac:dyDescent="0.25">
      <c r="B28" s="8" t="s">
        <v>38</v>
      </c>
      <c r="C28" s="46" t="s">
        <v>39</v>
      </c>
      <c r="D28" s="47"/>
    </row>
    <row r="29" spans="2:4" ht="15.95" customHeight="1" x14ac:dyDescent="0.25">
      <c r="B29" s="8" t="s">
        <v>40</v>
      </c>
      <c r="C29" s="46" t="s">
        <v>41</v>
      </c>
      <c r="D29" s="47"/>
    </row>
    <row r="30" spans="2:4" ht="15.95" customHeight="1" x14ac:dyDescent="0.25">
      <c r="B30" s="8" t="s">
        <v>42</v>
      </c>
      <c r="C30" s="46" t="s">
        <v>43</v>
      </c>
      <c r="D30" s="47"/>
    </row>
    <row r="31" spans="2:4" ht="30" x14ac:dyDescent="0.25">
      <c r="B31" s="11" t="s">
        <v>44</v>
      </c>
      <c r="C31" s="10" t="s">
        <v>45</v>
      </c>
      <c r="D31" s="7"/>
    </row>
    <row r="32" spans="2:4" ht="30" x14ac:dyDescent="0.25">
      <c r="B32" s="11" t="s">
        <v>46</v>
      </c>
      <c r="C32" s="10" t="s">
        <v>47</v>
      </c>
      <c r="D32" s="7"/>
    </row>
    <row r="33" spans="2:4" ht="30" x14ac:dyDescent="0.25">
      <c r="B33" s="11" t="s">
        <v>48</v>
      </c>
      <c r="C33" s="10" t="s">
        <v>49</v>
      </c>
      <c r="D33" s="7"/>
    </row>
    <row r="34" spans="2:4" x14ac:dyDescent="0.25">
      <c r="B34" s="9"/>
      <c r="C34" s="9"/>
    </row>
    <row r="35" spans="2:4" x14ac:dyDescent="0.25">
      <c r="B35" s="62" t="s">
        <v>50</v>
      </c>
      <c r="C35" s="62"/>
      <c r="D35" s="6"/>
    </row>
    <row r="36" spans="2:4" ht="36" customHeight="1" x14ac:dyDescent="0.25">
      <c r="B36" s="63" t="s">
        <v>51</v>
      </c>
      <c r="C36" s="63"/>
      <c r="D36" s="64"/>
    </row>
    <row r="37" spans="2:4" ht="36" customHeight="1" x14ac:dyDescent="0.25">
      <c r="B37" s="63" t="s">
        <v>52</v>
      </c>
      <c r="C37" s="63"/>
      <c r="D37" s="64"/>
    </row>
    <row r="38" spans="2:4" ht="36" customHeight="1" x14ac:dyDescent="0.25">
      <c r="B38" s="63" t="s">
        <v>53</v>
      </c>
      <c r="C38" s="63"/>
      <c r="D38" s="64"/>
    </row>
    <row r="39" spans="2:4" ht="36" customHeight="1" x14ac:dyDescent="0.25">
      <c r="B39" s="63" t="s">
        <v>54</v>
      </c>
      <c r="C39" s="63"/>
      <c r="D39" s="64"/>
    </row>
    <row r="40" spans="2:4" x14ac:dyDescent="0.25">
      <c r="B40" s="9"/>
      <c r="C40" s="9"/>
    </row>
  </sheetData>
  <mergeCells count="28">
    <mergeCell ref="B35:C35"/>
    <mergeCell ref="B36:D36"/>
    <mergeCell ref="B37:D37"/>
    <mergeCell ref="B38:D38"/>
    <mergeCell ref="B39:D39"/>
    <mergeCell ref="B2:D3"/>
    <mergeCell ref="C12:D12"/>
    <mergeCell ref="C21:D21"/>
    <mergeCell ref="C11:D11"/>
    <mergeCell ref="C27:D27"/>
    <mergeCell ref="B4:D4"/>
    <mergeCell ref="C17:D17"/>
    <mergeCell ref="B16:D16"/>
    <mergeCell ref="C8:D8"/>
    <mergeCell ref="C7:D7"/>
    <mergeCell ref="C19:D19"/>
    <mergeCell ref="C13:D13"/>
    <mergeCell ref="C18:D18"/>
    <mergeCell ref="C6:D6"/>
    <mergeCell ref="C30:D30"/>
    <mergeCell ref="C26:D26"/>
    <mergeCell ref="C20:D20"/>
    <mergeCell ref="C29:D29"/>
    <mergeCell ref="C10:D10"/>
    <mergeCell ref="C25:D25"/>
    <mergeCell ref="C9:D9"/>
    <mergeCell ref="B24:D24"/>
    <mergeCell ref="C28:D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4"/>
  <sheetViews>
    <sheetView showGridLines="0" topLeftCell="A9" workbookViewId="0">
      <selection sqref="A1:I1"/>
    </sheetView>
  </sheetViews>
  <sheetFormatPr baseColWidth="10" defaultColWidth="9.140625" defaultRowHeight="15" x14ac:dyDescent="0.25"/>
  <cols>
    <col min="1" max="1" width="22" customWidth="1"/>
    <col min="2" max="2" width="38" customWidth="1"/>
    <col min="3" max="3" width="32" customWidth="1"/>
    <col min="4" max="4" width="22" customWidth="1"/>
    <col min="5" max="5" width="38" customWidth="1"/>
    <col min="6" max="6" width="22" customWidth="1"/>
    <col min="7" max="7" width="12" customWidth="1"/>
    <col min="8" max="8" width="22" customWidth="1"/>
    <col min="9" max="9" width="50" customWidth="1"/>
  </cols>
  <sheetData>
    <row r="1" spans="1:9" ht="27.95" customHeight="1" x14ac:dyDescent="0.25">
      <c r="A1" s="65" t="s">
        <v>55</v>
      </c>
      <c r="B1" s="66"/>
      <c r="C1" s="66"/>
      <c r="D1" s="66"/>
      <c r="E1" s="66"/>
      <c r="F1" s="66"/>
      <c r="G1" s="66"/>
      <c r="H1" s="66"/>
      <c r="I1" s="66"/>
    </row>
    <row r="2" spans="1:9" ht="21.95" customHeight="1" x14ac:dyDescent="0.25">
      <c r="A2" s="55" t="s">
        <v>56</v>
      </c>
      <c r="B2" s="57"/>
      <c r="C2" s="57"/>
      <c r="D2" s="57"/>
      <c r="E2" s="57"/>
      <c r="F2" s="57"/>
      <c r="G2" s="57"/>
      <c r="H2" s="57"/>
      <c r="I2" s="57"/>
    </row>
    <row r="3" spans="1:9" ht="30" customHeight="1" x14ac:dyDescent="0.25">
      <c r="A3" s="12" t="s">
        <v>57</v>
      </c>
      <c r="B3" s="12" t="s">
        <v>58</v>
      </c>
      <c r="C3" s="12" t="s">
        <v>59</v>
      </c>
      <c r="D3" s="12" t="s">
        <v>60</v>
      </c>
      <c r="E3" s="12" t="s">
        <v>61</v>
      </c>
      <c r="F3" s="12" t="s">
        <v>62</v>
      </c>
      <c r="G3" s="12" t="s">
        <v>63</v>
      </c>
      <c r="H3" s="12" t="s">
        <v>64</v>
      </c>
      <c r="I3" s="12" t="s">
        <v>65</v>
      </c>
    </row>
    <row r="4" spans="1:9" ht="26.1" customHeight="1" x14ac:dyDescent="0.25">
      <c r="A4" s="13" t="s">
        <v>66</v>
      </c>
      <c r="B4" s="13" t="s">
        <v>67</v>
      </c>
      <c r="C4" s="13" t="s">
        <v>68</v>
      </c>
      <c r="D4" s="13" t="s">
        <v>69</v>
      </c>
      <c r="E4" s="13" t="s">
        <v>67</v>
      </c>
      <c r="F4" s="13" t="s">
        <v>70</v>
      </c>
      <c r="G4" s="14" t="s">
        <v>71</v>
      </c>
      <c r="H4" s="15" t="s">
        <v>72</v>
      </c>
      <c r="I4" s="13" t="s">
        <v>73</v>
      </c>
    </row>
    <row r="5" spans="1:9" ht="26.1" customHeight="1" x14ac:dyDescent="0.25">
      <c r="A5" s="16" t="s">
        <v>74</v>
      </c>
      <c r="B5" s="16" t="s">
        <v>75</v>
      </c>
      <c r="C5" s="16" t="s">
        <v>68</v>
      </c>
      <c r="D5" s="16" t="s">
        <v>76</v>
      </c>
      <c r="E5" s="16" t="s">
        <v>75</v>
      </c>
      <c r="F5" s="16" t="s">
        <v>77</v>
      </c>
      <c r="G5" s="17" t="s">
        <v>78</v>
      </c>
      <c r="H5" s="15" t="s">
        <v>72</v>
      </c>
      <c r="I5" s="16" t="s">
        <v>79</v>
      </c>
    </row>
    <row r="6" spans="1:9" ht="26.1" customHeight="1" x14ac:dyDescent="0.25">
      <c r="A6" s="13" t="s">
        <v>80</v>
      </c>
      <c r="B6" s="13" t="s">
        <v>81</v>
      </c>
      <c r="C6" s="13" t="s">
        <v>68</v>
      </c>
      <c r="D6" s="13" t="s">
        <v>82</v>
      </c>
      <c r="E6" s="13" t="s">
        <v>81</v>
      </c>
      <c r="F6" s="13" t="s">
        <v>83</v>
      </c>
      <c r="G6" s="14" t="s">
        <v>71</v>
      </c>
      <c r="H6" s="18" t="s">
        <v>72</v>
      </c>
      <c r="I6" s="13" t="s">
        <v>79</v>
      </c>
    </row>
    <row r="7" spans="1:9" ht="26.1" customHeight="1" x14ac:dyDescent="0.25">
      <c r="A7" s="16" t="s">
        <v>84</v>
      </c>
      <c r="B7" s="16" t="s">
        <v>85</v>
      </c>
      <c r="C7" s="16" t="s">
        <v>68</v>
      </c>
      <c r="D7" s="16" t="s">
        <v>86</v>
      </c>
      <c r="E7" s="16" t="s">
        <v>85</v>
      </c>
      <c r="F7" s="16" t="s">
        <v>83</v>
      </c>
      <c r="G7" s="17" t="s">
        <v>78</v>
      </c>
      <c r="H7" s="19" t="s">
        <v>72</v>
      </c>
      <c r="I7" s="16" t="s">
        <v>87</v>
      </c>
    </row>
    <row r="8" spans="1:9" ht="26.1" customHeight="1" x14ac:dyDescent="0.25">
      <c r="A8" s="13" t="s">
        <v>88</v>
      </c>
      <c r="B8" s="13" t="s">
        <v>89</v>
      </c>
      <c r="C8" s="13" t="s">
        <v>68</v>
      </c>
      <c r="D8" s="13" t="s">
        <v>90</v>
      </c>
      <c r="E8" s="13" t="s">
        <v>89</v>
      </c>
      <c r="F8" s="13" t="s">
        <v>83</v>
      </c>
      <c r="G8" s="14" t="s">
        <v>78</v>
      </c>
      <c r="H8" s="19" t="s">
        <v>72</v>
      </c>
      <c r="I8" s="13" t="s">
        <v>79</v>
      </c>
    </row>
    <row r="9" spans="1:9" ht="26.1" customHeight="1" x14ac:dyDescent="0.25">
      <c r="A9" s="16" t="s">
        <v>91</v>
      </c>
      <c r="B9" s="16" t="s">
        <v>92</v>
      </c>
      <c r="C9" s="16" t="s">
        <v>68</v>
      </c>
      <c r="D9" s="16" t="s">
        <v>93</v>
      </c>
      <c r="E9" s="16" t="s">
        <v>92</v>
      </c>
      <c r="F9" s="16" t="s">
        <v>83</v>
      </c>
      <c r="G9" s="17" t="s">
        <v>94</v>
      </c>
      <c r="H9" s="19" t="s">
        <v>72</v>
      </c>
      <c r="I9" s="16" t="s">
        <v>79</v>
      </c>
    </row>
    <row r="10" spans="1:9" ht="26.1" customHeight="1" x14ac:dyDescent="0.25">
      <c r="A10" s="13" t="s">
        <v>95</v>
      </c>
      <c r="B10" s="13" t="s">
        <v>96</v>
      </c>
      <c r="C10" s="13" t="s">
        <v>68</v>
      </c>
      <c r="D10" s="13" t="s">
        <v>97</v>
      </c>
      <c r="E10" s="13" t="s">
        <v>96</v>
      </c>
      <c r="F10" s="13" t="s">
        <v>83</v>
      </c>
      <c r="G10" s="14" t="s">
        <v>94</v>
      </c>
      <c r="H10" s="18" t="s">
        <v>72</v>
      </c>
      <c r="I10" s="13" t="s">
        <v>79</v>
      </c>
    </row>
    <row r="11" spans="1:9" ht="26.1" customHeight="1" x14ac:dyDescent="0.25">
      <c r="A11" s="16" t="s">
        <v>98</v>
      </c>
      <c r="B11" s="16" t="s">
        <v>99</v>
      </c>
      <c r="C11" s="16" t="s">
        <v>68</v>
      </c>
      <c r="D11" s="16" t="s">
        <v>100</v>
      </c>
      <c r="E11" s="16" t="s">
        <v>99</v>
      </c>
      <c r="F11" s="16" t="s">
        <v>83</v>
      </c>
      <c r="G11" s="17" t="s">
        <v>78</v>
      </c>
      <c r="H11" s="19" t="s">
        <v>72</v>
      </c>
      <c r="I11" s="16" t="s">
        <v>87</v>
      </c>
    </row>
    <row r="12" spans="1:9" ht="26.1" customHeight="1" x14ac:dyDescent="0.25">
      <c r="A12" s="13" t="s">
        <v>101</v>
      </c>
      <c r="B12" s="13" t="s">
        <v>102</v>
      </c>
      <c r="C12" s="13" t="s">
        <v>68</v>
      </c>
      <c r="D12" s="13" t="s">
        <v>103</v>
      </c>
      <c r="E12" s="13" t="s">
        <v>102</v>
      </c>
      <c r="F12" s="13" t="s">
        <v>77</v>
      </c>
      <c r="G12" s="13" t="s">
        <v>71</v>
      </c>
      <c r="H12" s="13" t="s">
        <v>72</v>
      </c>
      <c r="I12" s="13" t="s">
        <v>104</v>
      </c>
    </row>
    <row r="13" spans="1:9" ht="26.1" customHeight="1" x14ac:dyDescent="0.25">
      <c r="A13" s="16" t="s">
        <v>105</v>
      </c>
      <c r="B13" s="16" t="s">
        <v>106</v>
      </c>
      <c r="C13" s="16" t="s">
        <v>107</v>
      </c>
      <c r="D13" s="16" t="s">
        <v>108</v>
      </c>
      <c r="E13" s="16" t="s">
        <v>106</v>
      </c>
      <c r="F13" s="16" t="s">
        <v>83</v>
      </c>
      <c r="G13" s="16" t="s">
        <v>71</v>
      </c>
      <c r="H13" s="16" t="s">
        <v>72</v>
      </c>
      <c r="I13" s="16" t="s">
        <v>104</v>
      </c>
    </row>
    <row r="14" spans="1:9" ht="26.1" customHeight="1" x14ac:dyDescent="0.25">
      <c r="A14" s="13" t="s">
        <v>109</v>
      </c>
      <c r="B14" s="13" t="s">
        <v>110</v>
      </c>
      <c r="C14" s="13" t="s">
        <v>107</v>
      </c>
      <c r="D14" s="13" t="s">
        <v>111</v>
      </c>
      <c r="E14" s="13" t="s">
        <v>110</v>
      </c>
      <c r="F14" s="13" t="s">
        <v>83</v>
      </c>
      <c r="G14" s="13" t="s">
        <v>78</v>
      </c>
      <c r="H14" s="13" t="s">
        <v>72</v>
      </c>
      <c r="I14" s="13" t="s">
        <v>79</v>
      </c>
    </row>
    <row r="15" spans="1:9" ht="26.1" customHeight="1" x14ac:dyDescent="0.25">
      <c r="A15" s="16" t="s">
        <v>112</v>
      </c>
      <c r="B15" s="16" t="s">
        <v>113</v>
      </c>
      <c r="C15" s="16" t="s">
        <v>107</v>
      </c>
      <c r="D15" s="16" t="s">
        <v>114</v>
      </c>
      <c r="E15" s="16" t="s">
        <v>113</v>
      </c>
      <c r="F15" s="16" t="s">
        <v>83</v>
      </c>
      <c r="G15" s="16" t="s">
        <v>71</v>
      </c>
      <c r="H15" s="16" t="s">
        <v>72</v>
      </c>
      <c r="I15" s="16" t="s">
        <v>115</v>
      </c>
    </row>
    <row r="16" spans="1:9" ht="26.1" customHeight="1" x14ac:dyDescent="0.25">
      <c r="A16" s="13" t="s">
        <v>116</v>
      </c>
      <c r="B16" s="13" t="s">
        <v>117</v>
      </c>
      <c r="C16" s="13" t="s">
        <v>107</v>
      </c>
      <c r="D16" s="13" t="s">
        <v>118</v>
      </c>
      <c r="E16" s="13" t="s">
        <v>117</v>
      </c>
      <c r="F16" s="13" t="s">
        <v>83</v>
      </c>
      <c r="G16" s="13" t="s">
        <v>78</v>
      </c>
      <c r="H16" s="13" t="s">
        <v>72</v>
      </c>
      <c r="I16" s="13" t="s">
        <v>115</v>
      </c>
    </row>
    <row r="17" spans="1:9" ht="26.1" customHeight="1" x14ac:dyDescent="0.25">
      <c r="A17" s="16" t="s">
        <v>119</v>
      </c>
      <c r="B17" s="16" t="s">
        <v>120</v>
      </c>
      <c r="C17" s="16" t="s">
        <v>107</v>
      </c>
      <c r="D17" s="16" t="s">
        <v>121</v>
      </c>
      <c r="E17" s="16" t="s">
        <v>120</v>
      </c>
      <c r="F17" s="16" t="s">
        <v>122</v>
      </c>
      <c r="G17" s="16" t="s">
        <v>78</v>
      </c>
      <c r="H17" s="16" t="s">
        <v>72</v>
      </c>
      <c r="I17" s="16" t="s">
        <v>123</v>
      </c>
    </row>
    <row r="18" spans="1:9" ht="26.1" customHeight="1" x14ac:dyDescent="0.25">
      <c r="A18" s="13" t="s">
        <v>124</v>
      </c>
      <c r="B18" s="13" t="s">
        <v>125</v>
      </c>
      <c r="C18" s="13" t="s">
        <v>126</v>
      </c>
      <c r="D18" s="13" t="s">
        <v>127</v>
      </c>
      <c r="E18" s="13" t="s">
        <v>125</v>
      </c>
      <c r="F18" s="13" t="s">
        <v>128</v>
      </c>
      <c r="G18" s="13" t="s">
        <v>71</v>
      </c>
      <c r="H18" s="13" t="s">
        <v>72</v>
      </c>
      <c r="I18" s="13" t="s">
        <v>104</v>
      </c>
    </row>
    <row r="19" spans="1:9" ht="26.1" customHeight="1" x14ac:dyDescent="0.25">
      <c r="A19" s="16" t="s">
        <v>129</v>
      </c>
      <c r="B19" s="16" t="s">
        <v>130</v>
      </c>
      <c r="C19" s="16" t="s">
        <v>126</v>
      </c>
      <c r="D19" s="16" t="s">
        <v>131</v>
      </c>
      <c r="E19" s="16" t="s">
        <v>130</v>
      </c>
      <c r="F19" s="16" t="s">
        <v>128</v>
      </c>
      <c r="G19" s="16" t="s">
        <v>71</v>
      </c>
      <c r="H19" s="16" t="s">
        <v>72</v>
      </c>
      <c r="I19" s="16" t="s">
        <v>132</v>
      </c>
    </row>
    <row r="20" spans="1:9" ht="26.1" customHeight="1" x14ac:dyDescent="0.25">
      <c r="A20" s="13" t="s">
        <v>133</v>
      </c>
      <c r="B20" s="13" t="s">
        <v>134</v>
      </c>
      <c r="C20" s="13" t="s">
        <v>126</v>
      </c>
      <c r="D20" s="13" t="s">
        <v>135</v>
      </c>
      <c r="E20" s="13" t="s">
        <v>134</v>
      </c>
      <c r="F20" s="13" t="s">
        <v>128</v>
      </c>
      <c r="G20" s="13" t="s">
        <v>71</v>
      </c>
      <c r="H20" s="13" t="s">
        <v>72</v>
      </c>
      <c r="I20" s="13" t="s">
        <v>136</v>
      </c>
    </row>
    <row r="21" spans="1:9" ht="26.1" customHeight="1" x14ac:dyDescent="0.25">
      <c r="A21" s="16" t="s">
        <v>137</v>
      </c>
      <c r="B21" s="16" t="s">
        <v>138</v>
      </c>
      <c r="C21" s="16" t="s">
        <v>126</v>
      </c>
      <c r="D21" s="16" t="s">
        <v>139</v>
      </c>
      <c r="E21" s="16" t="s">
        <v>138</v>
      </c>
      <c r="F21" s="16" t="s">
        <v>128</v>
      </c>
      <c r="G21" s="16" t="s">
        <v>78</v>
      </c>
      <c r="H21" s="16" t="s">
        <v>72</v>
      </c>
      <c r="I21" s="16" t="s">
        <v>136</v>
      </c>
    </row>
    <row r="22" spans="1:9" ht="26.1" customHeight="1" x14ac:dyDescent="0.25">
      <c r="A22" s="13" t="s">
        <v>140</v>
      </c>
      <c r="B22" s="13" t="s">
        <v>141</v>
      </c>
      <c r="C22" s="13" t="s">
        <v>126</v>
      </c>
      <c r="D22" s="13" t="s">
        <v>142</v>
      </c>
      <c r="E22" s="13" t="s">
        <v>141</v>
      </c>
      <c r="F22" s="13" t="s">
        <v>143</v>
      </c>
      <c r="G22" s="13" t="s">
        <v>78</v>
      </c>
      <c r="H22" s="13" t="s">
        <v>72</v>
      </c>
      <c r="I22" s="13" t="s">
        <v>136</v>
      </c>
    </row>
    <row r="23" spans="1:9" ht="26.1" customHeight="1" x14ac:dyDescent="0.25">
      <c r="A23" s="16" t="s">
        <v>144</v>
      </c>
      <c r="B23" s="16" t="s">
        <v>145</v>
      </c>
      <c r="C23" s="16" t="s">
        <v>126</v>
      </c>
      <c r="D23" s="16" t="s">
        <v>146</v>
      </c>
      <c r="E23" s="16" t="s">
        <v>145</v>
      </c>
      <c r="F23" s="16" t="s">
        <v>143</v>
      </c>
      <c r="G23" s="16" t="s">
        <v>78</v>
      </c>
      <c r="H23" s="16" t="s">
        <v>72</v>
      </c>
      <c r="I23" s="16" t="s">
        <v>147</v>
      </c>
    </row>
    <row r="24" spans="1:9" ht="26.1" customHeight="1" x14ac:dyDescent="0.25">
      <c r="A24" s="13" t="s">
        <v>148</v>
      </c>
      <c r="B24" s="13" t="s">
        <v>149</v>
      </c>
      <c r="C24" s="13" t="s">
        <v>126</v>
      </c>
      <c r="D24" s="13" t="s">
        <v>150</v>
      </c>
      <c r="E24" s="13" t="s">
        <v>149</v>
      </c>
      <c r="F24" s="13" t="s">
        <v>151</v>
      </c>
      <c r="G24" s="13" t="s">
        <v>78</v>
      </c>
      <c r="H24" s="13" t="s">
        <v>72</v>
      </c>
      <c r="I24" s="13" t="s">
        <v>136</v>
      </c>
    </row>
    <row r="25" spans="1:9" ht="26.1" customHeight="1" x14ac:dyDescent="0.25">
      <c r="A25" s="16" t="s">
        <v>152</v>
      </c>
      <c r="B25" s="16" t="s">
        <v>153</v>
      </c>
      <c r="C25" s="16" t="s">
        <v>126</v>
      </c>
      <c r="D25" s="16" t="s">
        <v>154</v>
      </c>
      <c r="E25" s="16" t="s">
        <v>153</v>
      </c>
      <c r="F25" s="16" t="s">
        <v>128</v>
      </c>
      <c r="G25" s="16" t="s">
        <v>78</v>
      </c>
      <c r="H25" s="16" t="s">
        <v>72</v>
      </c>
      <c r="I25" s="16" t="s">
        <v>136</v>
      </c>
    </row>
    <row r="26" spans="1:9" ht="26.1" customHeight="1" x14ac:dyDescent="0.25">
      <c r="A26" s="13" t="s">
        <v>155</v>
      </c>
      <c r="B26" s="13" t="s">
        <v>156</v>
      </c>
      <c r="C26" s="13" t="s">
        <v>126</v>
      </c>
      <c r="D26" s="13" t="s">
        <v>157</v>
      </c>
      <c r="E26" s="13" t="s">
        <v>156</v>
      </c>
      <c r="F26" s="13" t="s">
        <v>83</v>
      </c>
      <c r="G26" s="13" t="s">
        <v>94</v>
      </c>
      <c r="H26" s="13" t="s">
        <v>72</v>
      </c>
      <c r="I26" s="13" t="s">
        <v>132</v>
      </c>
    </row>
    <row r="27" spans="1:9" ht="26.1" customHeight="1" x14ac:dyDescent="0.25">
      <c r="A27" s="16" t="s">
        <v>158</v>
      </c>
      <c r="B27" s="16" t="s">
        <v>159</v>
      </c>
      <c r="C27" s="16" t="s">
        <v>160</v>
      </c>
      <c r="D27" s="16" t="s">
        <v>161</v>
      </c>
      <c r="E27" s="16" t="s">
        <v>159</v>
      </c>
      <c r="F27" s="16" t="s">
        <v>143</v>
      </c>
      <c r="G27" s="16" t="s">
        <v>71</v>
      </c>
      <c r="H27" s="16" t="s">
        <v>72</v>
      </c>
      <c r="I27" s="16" t="s">
        <v>162</v>
      </c>
    </row>
    <row r="28" spans="1:9" ht="26.1" customHeight="1" x14ac:dyDescent="0.25">
      <c r="A28" s="13" t="s">
        <v>163</v>
      </c>
      <c r="B28" s="13" t="s">
        <v>164</v>
      </c>
      <c r="C28" s="13" t="s">
        <v>160</v>
      </c>
      <c r="D28" s="13" t="s">
        <v>165</v>
      </c>
      <c r="E28" s="13" t="s">
        <v>164</v>
      </c>
      <c r="F28" s="13" t="s">
        <v>143</v>
      </c>
      <c r="G28" s="13" t="s">
        <v>71</v>
      </c>
      <c r="H28" s="13" t="s">
        <v>72</v>
      </c>
      <c r="I28" s="13" t="s">
        <v>166</v>
      </c>
    </row>
    <row r="29" spans="1:9" ht="26.1" customHeight="1" x14ac:dyDescent="0.25">
      <c r="A29" s="16" t="s">
        <v>167</v>
      </c>
      <c r="B29" s="16" t="s">
        <v>168</v>
      </c>
      <c r="C29" s="16" t="s">
        <v>160</v>
      </c>
      <c r="D29" s="16" t="s">
        <v>169</v>
      </c>
      <c r="E29" s="16" t="s">
        <v>168</v>
      </c>
      <c r="F29" s="16" t="s">
        <v>143</v>
      </c>
      <c r="G29" s="16" t="s">
        <v>78</v>
      </c>
      <c r="H29" s="16" t="s">
        <v>72</v>
      </c>
      <c r="I29" s="16" t="s">
        <v>170</v>
      </c>
    </row>
    <row r="30" spans="1:9" ht="26.1" customHeight="1" x14ac:dyDescent="0.25">
      <c r="A30" s="13" t="s">
        <v>171</v>
      </c>
      <c r="B30" s="13" t="s">
        <v>172</v>
      </c>
      <c r="C30" s="13" t="s">
        <v>160</v>
      </c>
      <c r="D30" s="13" t="s">
        <v>173</v>
      </c>
      <c r="E30" s="13" t="s">
        <v>172</v>
      </c>
      <c r="F30" s="13" t="s">
        <v>143</v>
      </c>
      <c r="G30" s="13" t="s">
        <v>71</v>
      </c>
      <c r="H30" s="13" t="s">
        <v>72</v>
      </c>
      <c r="I30" s="13" t="s">
        <v>170</v>
      </c>
    </row>
    <row r="31" spans="1:9" ht="26.1" customHeight="1" x14ac:dyDescent="0.25">
      <c r="A31" s="16" t="s">
        <v>174</v>
      </c>
      <c r="B31" s="16" t="s">
        <v>175</v>
      </c>
      <c r="C31" s="16" t="s">
        <v>160</v>
      </c>
      <c r="D31" s="16" t="s">
        <v>176</v>
      </c>
      <c r="E31" s="16" t="s">
        <v>175</v>
      </c>
      <c r="F31" s="16" t="s">
        <v>143</v>
      </c>
      <c r="G31" s="16" t="s">
        <v>71</v>
      </c>
      <c r="H31" s="16" t="s">
        <v>72</v>
      </c>
      <c r="I31" s="16" t="s">
        <v>177</v>
      </c>
    </row>
    <row r="32" spans="1:9" ht="26.1" customHeight="1" x14ac:dyDescent="0.25">
      <c r="A32" s="20" t="s">
        <v>178</v>
      </c>
      <c r="B32" s="20" t="s">
        <v>179</v>
      </c>
      <c r="C32" s="20" t="s">
        <v>160</v>
      </c>
      <c r="D32" s="20" t="s">
        <v>180</v>
      </c>
      <c r="E32" s="20" t="s">
        <v>179</v>
      </c>
      <c r="F32" s="20" t="s">
        <v>151</v>
      </c>
      <c r="G32" s="20" t="s">
        <v>94</v>
      </c>
      <c r="H32" s="20" t="s">
        <v>72</v>
      </c>
      <c r="I32" s="20" t="s">
        <v>181</v>
      </c>
    </row>
    <row r="33" spans="1:9" ht="26.1" customHeight="1" x14ac:dyDescent="0.25">
      <c r="A33" s="20" t="s">
        <v>182</v>
      </c>
      <c r="B33" s="20" t="s">
        <v>183</v>
      </c>
      <c r="C33" s="20" t="s">
        <v>184</v>
      </c>
      <c r="D33" s="20" t="s">
        <v>185</v>
      </c>
      <c r="E33" s="20" t="s">
        <v>183</v>
      </c>
      <c r="F33" s="20" t="s">
        <v>186</v>
      </c>
      <c r="G33" s="20" t="s">
        <v>71</v>
      </c>
      <c r="H33" s="20" t="s">
        <v>72</v>
      </c>
      <c r="I33" s="20" t="s">
        <v>187</v>
      </c>
    </row>
    <row r="34" spans="1:9" ht="26.1" customHeight="1" x14ac:dyDescent="0.25">
      <c r="A34" s="20" t="s">
        <v>188</v>
      </c>
      <c r="B34" s="20" t="s">
        <v>189</v>
      </c>
      <c r="C34" s="20" t="s">
        <v>184</v>
      </c>
      <c r="D34" s="20" t="s">
        <v>190</v>
      </c>
      <c r="E34" s="20" t="s">
        <v>189</v>
      </c>
      <c r="F34" s="20" t="s">
        <v>186</v>
      </c>
      <c r="G34" s="20" t="s">
        <v>71</v>
      </c>
      <c r="H34" s="20" t="s">
        <v>72</v>
      </c>
      <c r="I34" s="20" t="s">
        <v>191</v>
      </c>
    </row>
    <row r="35" spans="1:9" ht="26.1" customHeight="1" x14ac:dyDescent="0.25">
      <c r="A35" s="20" t="s">
        <v>192</v>
      </c>
      <c r="B35" s="20" t="s">
        <v>193</v>
      </c>
      <c r="C35" s="20" t="s">
        <v>184</v>
      </c>
      <c r="D35" s="20" t="s">
        <v>194</v>
      </c>
      <c r="E35" s="20" t="s">
        <v>193</v>
      </c>
      <c r="F35" s="20" t="s">
        <v>186</v>
      </c>
      <c r="G35" s="20" t="s">
        <v>78</v>
      </c>
      <c r="H35" s="20" t="s">
        <v>72</v>
      </c>
      <c r="I35" s="20" t="s">
        <v>170</v>
      </c>
    </row>
    <row r="36" spans="1:9" ht="26.1" customHeight="1" x14ac:dyDescent="0.25">
      <c r="A36" s="20" t="s">
        <v>195</v>
      </c>
      <c r="B36" s="20" t="s">
        <v>196</v>
      </c>
      <c r="C36" s="20" t="s">
        <v>184</v>
      </c>
      <c r="D36" s="20" t="s">
        <v>197</v>
      </c>
      <c r="E36" s="20" t="s">
        <v>196</v>
      </c>
      <c r="F36" s="20" t="s">
        <v>198</v>
      </c>
      <c r="G36" s="20" t="s">
        <v>71</v>
      </c>
      <c r="H36" s="20" t="s">
        <v>72</v>
      </c>
      <c r="I36" s="20" t="s">
        <v>199</v>
      </c>
    </row>
    <row r="37" spans="1:9" ht="26.1" customHeight="1" x14ac:dyDescent="0.25">
      <c r="A37" s="20" t="s">
        <v>200</v>
      </c>
      <c r="B37" s="20" t="s">
        <v>201</v>
      </c>
      <c r="C37" s="20" t="s">
        <v>184</v>
      </c>
      <c r="D37" s="20" t="s">
        <v>202</v>
      </c>
      <c r="E37" s="20" t="s">
        <v>201</v>
      </c>
      <c r="F37" s="20" t="s">
        <v>203</v>
      </c>
      <c r="G37" s="20" t="s">
        <v>71</v>
      </c>
      <c r="H37" s="20" t="s">
        <v>72</v>
      </c>
      <c r="I37" s="20" t="s">
        <v>191</v>
      </c>
    </row>
    <row r="38" spans="1:9" ht="26.1" customHeight="1" x14ac:dyDescent="0.25">
      <c r="A38" s="20" t="s">
        <v>204</v>
      </c>
      <c r="B38" s="20" t="s">
        <v>205</v>
      </c>
      <c r="C38" s="20" t="s">
        <v>184</v>
      </c>
      <c r="D38" s="20" t="s">
        <v>206</v>
      </c>
      <c r="E38" s="20" t="s">
        <v>205</v>
      </c>
      <c r="F38" s="20" t="s">
        <v>198</v>
      </c>
      <c r="G38" s="20" t="s">
        <v>78</v>
      </c>
      <c r="H38" s="20" t="s">
        <v>72</v>
      </c>
      <c r="I38" s="20" t="s">
        <v>207</v>
      </c>
    </row>
    <row r="39" spans="1:9" ht="26.1" customHeight="1" x14ac:dyDescent="0.25">
      <c r="A39" s="20" t="s">
        <v>208</v>
      </c>
      <c r="B39" s="20" t="s">
        <v>209</v>
      </c>
      <c r="C39" s="20" t="s">
        <v>184</v>
      </c>
      <c r="D39" s="20" t="s">
        <v>210</v>
      </c>
      <c r="E39" s="20" t="s">
        <v>209</v>
      </c>
      <c r="F39" s="20" t="s">
        <v>211</v>
      </c>
      <c r="G39" s="20" t="s">
        <v>94</v>
      </c>
      <c r="H39" s="20" t="s">
        <v>72</v>
      </c>
      <c r="I39" s="20" t="s">
        <v>212</v>
      </c>
    </row>
    <row r="40" spans="1:9" ht="26.1" customHeight="1" x14ac:dyDescent="0.25">
      <c r="A40" s="20" t="s">
        <v>213</v>
      </c>
      <c r="B40" s="20" t="s">
        <v>214</v>
      </c>
      <c r="C40" s="20" t="s">
        <v>215</v>
      </c>
      <c r="D40" s="20" t="s">
        <v>216</v>
      </c>
      <c r="E40" s="20" t="s">
        <v>214</v>
      </c>
      <c r="F40" s="20" t="s">
        <v>198</v>
      </c>
      <c r="G40" s="20" t="s">
        <v>71</v>
      </c>
      <c r="H40" s="20" t="s">
        <v>72</v>
      </c>
      <c r="I40" s="20" t="s">
        <v>104</v>
      </c>
    </row>
    <row r="41" spans="1:9" ht="26.1" customHeight="1" x14ac:dyDescent="0.25">
      <c r="A41" s="20" t="s">
        <v>217</v>
      </c>
      <c r="B41" s="20" t="s">
        <v>218</v>
      </c>
      <c r="C41" s="20" t="s">
        <v>215</v>
      </c>
      <c r="D41" s="20" t="s">
        <v>219</v>
      </c>
      <c r="E41" s="20" t="s">
        <v>218</v>
      </c>
      <c r="F41" s="20" t="s">
        <v>198</v>
      </c>
      <c r="G41" s="20" t="s">
        <v>71</v>
      </c>
      <c r="H41" s="20" t="s">
        <v>72</v>
      </c>
      <c r="I41" s="20" t="s">
        <v>220</v>
      </c>
    </row>
    <row r="42" spans="1:9" ht="26.1" customHeight="1" x14ac:dyDescent="0.25">
      <c r="A42" s="20" t="s">
        <v>221</v>
      </c>
      <c r="B42" s="20" t="s">
        <v>222</v>
      </c>
      <c r="C42" s="20" t="s">
        <v>215</v>
      </c>
      <c r="D42" s="20" t="s">
        <v>223</v>
      </c>
      <c r="E42" s="20" t="s">
        <v>222</v>
      </c>
      <c r="F42" s="20" t="s">
        <v>224</v>
      </c>
      <c r="G42" s="20" t="s">
        <v>78</v>
      </c>
      <c r="H42" s="20" t="s">
        <v>72</v>
      </c>
      <c r="I42" s="20" t="s">
        <v>199</v>
      </c>
    </row>
    <row r="43" spans="1:9" ht="26.1" customHeight="1" x14ac:dyDescent="0.25">
      <c r="A43" s="20" t="s">
        <v>225</v>
      </c>
      <c r="B43" s="20" t="s">
        <v>226</v>
      </c>
      <c r="C43" s="20" t="s">
        <v>215</v>
      </c>
      <c r="D43" s="20" t="s">
        <v>227</v>
      </c>
      <c r="E43" s="20" t="s">
        <v>226</v>
      </c>
      <c r="F43" s="20" t="s">
        <v>224</v>
      </c>
      <c r="G43" s="20" t="s">
        <v>71</v>
      </c>
      <c r="H43" s="20" t="s">
        <v>72</v>
      </c>
      <c r="I43" s="20" t="s">
        <v>220</v>
      </c>
    </row>
    <row r="44" spans="1:9" ht="26.1" customHeight="1" x14ac:dyDescent="0.25">
      <c r="A44" s="20" t="s">
        <v>228</v>
      </c>
      <c r="B44" s="20" t="s">
        <v>229</v>
      </c>
      <c r="C44" s="20" t="s">
        <v>230</v>
      </c>
      <c r="D44" s="20" t="s">
        <v>231</v>
      </c>
      <c r="E44" s="20" t="s">
        <v>229</v>
      </c>
      <c r="F44" s="20" t="s">
        <v>224</v>
      </c>
      <c r="G44" s="20" t="s">
        <v>71</v>
      </c>
      <c r="H44" s="20" t="s">
        <v>72</v>
      </c>
      <c r="I44" s="20" t="s">
        <v>104</v>
      </c>
    </row>
    <row r="45" spans="1:9" ht="26.1" customHeight="1" x14ac:dyDescent="0.25">
      <c r="A45" s="20" t="s">
        <v>232</v>
      </c>
      <c r="B45" s="20" t="s">
        <v>233</v>
      </c>
      <c r="C45" s="20" t="s">
        <v>230</v>
      </c>
      <c r="D45" s="20" t="s">
        <v>234</v>
      </c>
      <c r="E45" s="20" t="s">
        <v>233</v>
      </c>
      <c r="F45" s="20" t="s">
        <v>224</v>
      </c>
      <c r="G45" s="20" t="s">
        <v>71</v>
      </c>
      <c r="H45" s="20" t="s">
        <v>72</v>
      </c>
      <c r="I45" s="20" t="s">
        <v>235</v>
      </c>
    </row>
    <row r="46" spans="1:9" ht="26.1" customHeight="1" x14ac:dyDescent="0.25">
      <c r="A46" s="20" t="s">
        <v>236</v>
      </c>
      <c r="B46" s="20" t="s">
        <v>237</v>
      </c>
      <c r="C46" s="20" t="s">
        <v>230</v>
      </c>
      <c r="D46" s="20" t="s">
        <v>238</v>
      </c>
      <c r="E46" s="20" t="s">
        <v>237</v>
      </c>
      <c r="F46" s="20" t="s">
        <v>239</v>
      </c>
      <c r="G46" s="20" t="s">
        <v>71</v>
      </c>
      <c r="H46" s="20" t="s">
        <v>72</v>
      </c>
      <c r="I46" s="20" t="s">
        <v>147</v>
      </c>
    </row>
    <row r="47" spans="1:9" ht="26.1" customHeight="1" x14ac:dyDescent="0.25">
      <c r="A47" s="20" t="s">
        <v>240</v>
      </c>
      <c r="B47" s="20" t="s">
        <v>241</v>
      </c>
      <c r="C47" s="20" t="s">
        <v>230</v>
      </c>
      <c r="D47" s="20" t="s">
        <v>242</v>
      </c>
      <c r="E47" s="20" t="s">
        <v>241</v>
      </c>
      <c r="F47" s="20" t="s">
        <v>224</v>
      </c>
      <c r="G47" s="20" t="s">
        <v>71</v>
      </c>
      <c r="H47" s="20" t="s">
        <v>72</v>
      </c>
      <c r="I47" s="20" t="s">
        <v>147</v>
      </c>
    </row>
    <row r="48" spans="1:9" ht="26.1" customHeight="1" x14ac:dyDescent="0.25">
      <c r="A48" s="20" t="s">
        <v>243</v>
      </c>
      <c r="B48" s="20" t="s">
        <v>244</v>
      </c>
      <c r="C48" s="20" t="s">
        <v>230</v>
      </c>
      <c r="D48" s="20" t="s">
        <v>245</v>
      </c>
      <c r="E48" s="20" t="s">
        <v>244</v>
      </c>
      <c r="F48" s="20" t="s">
        <v>224</v>
      </c>
      <c r="G48" s="20" t="s">
        <v>71</v>
      </c>
      <c r="H48" s="20" t="s">
        <v>72</v>
      </c>
      <c r="I48" s="20" t="s">
        <v>147</v>
      </c>
    </row>
    <row r="49" spans="1:9" ht="26.1" customHeight="1" x14ac:dyDescent="0.25">
      <c r="A49" s="20" t="s">
        <v>246</v>
      </c>
      <c r="B49" s="20" t="s">
        <v>247</v>
      </c>
      <c r="C49" s="20" t="s">
        <v>230</v>
      </c>
      <c r="D49" s="20" t="s">
        <v>248</v>
      </c>
      <c r="E49" s="20" t="s">
        <v>247</v>
      </c>
      <c r="F49" s="20" t="s">
        <v>224</v>
      </c>
      <c r="G49" s="20" t="s">
        <v>71</v>
      </c>
      <c r="H49" s="20" t="s">
        <v>72</v>
      </c>
      <c r="I49" s="20" t="s">
        <v>147</v>
      </c>
    </row>
    <row r="50" spans="1:9" ht="26.1" customHeight="1" x14ac:dyDescent="0.25">
      <c r="A50" s="20" t="s">
        <v>249</v>
      </c>
      <c r="B50" s="20" t="s">
        <v>250</v>
      </c>
      <c r="C50" s="20" t="s">
        <v>230</v>
      </c>
      <c r="D50" s="20" t="s">
        <v>251</v>
      </c>
      <c r="E50" s="20" t="s">
        <v>250</v>
      </c>
      <c r="F50" s="20" t="s">
        <v>151</v>
      </c>
      <c r="G50" s="20" t="s">
        <v>78</v>
      </c>
      <c r="H50" s="20" t="s">
        <v>72</v>
      </c>
      <c r="I50" s="20" t="s">
        <v>252</v>
      </c>
    </row>
    <row r="51" spans="1:9" ht="26.1" customHeight="1" x14ac:dyDescent="0.25">
      <c r="A51" s="20" t="s">
        <v>253</v>
      </c>
      <c r="B51" s="20" t="s">
        <v>254</v>
      </c>
      <c r="C51" s="20" t="s">
        <v>230</v>
      </c>
      <c r="D51" s="20" t="s">
        <v>255</v>
      </c>
      <c r="E51" s="20" t="s">
        <v>254</v>
      </c>
      <c r="F51" s="20" t="s">
        <v>198</v>
      </c>
      <c r="G51" s="20" t="s">
        <v>78</v>
      </c>
      <c r="H51" s="20" t="s">
        <v>72</v>
      </c>
      <c r="I51" s="20" t="s">
        <v>147</v>
      </c>
    </row>
    <row r="52" spans="1:9" ht="26.1" customHeight="1" x14ac:dyDescent="0.25">
      <c r="A52" s="20" t="s">
        <v>256</v>
      </c>
      <c r="B52" s="20" t="s">
        <v>257</v>
      </c>
      <c r="C52" s="20" t="s">
        <v>258</v>
      </c>
      <c r="D52" s="20" t="s">
        <v>259</v>
      </c>
      <c r="E52" s="20" t="s">
        <v>257</v>
      </c>
      <c r="F52" s="20" t="s">
        <v>83</v>
      </c>
      <c r="G52" s="20" t="s">
        <v>71</v>
      </c>
      <c r="H52" s="20" t="s">
        <v>72</v>
      </c>
      <c r="I52" s="20" t="s">
        <v>104</v>
      </c>
    </row>
    <row r="53" spans="1:9" ht="26.1" customHeight="1" x14ac:dyDescent="0.25">
      <c r="A53" s="20" t="s">
        <v>260</v>
      </c>
      <c r="B53" s="20" t="s">
        <v>261</v>
      </c>
      <c r="C53" s="20" t="s">
        <v>258</v>
      </c>
      <c r="D53" s="20" t="s">
        <v>262</v>
      </c>
      <c r="E53" s="20" t="s">
        <v>261</v>
      </c>
      <c r="F53" s="20" t="s">
        <v>198</v>
      </c>
      <c r="G53" s="20" t="s">
        <v>71</v>
      </c>
      <c r="H53" s="20" t="s">
        <v>72</v>
      </c>
      <c r="I53" s="20" t="s">
        <v>263</v>
      </c>
    </row>
    <row r="54" spans="1:9" ht="26.1" customHeight="1" x14ac:dyDescent="0.25">
      <c r="A54" s="20" t="s">
        <v>264</v>
      </c>
      <c r="B54" s="20" t="s">
        <v>265</v>
      </c>
      <c r="C54" s="20" t="s">
        <v>258</v>
      </c>
      <c r="D54" s="20" t="s">
        <v>266</v>
      </c>
      <c r="E54" s="20" t="s">
        <v>265</v>
      </c>
      <c r="F54" s="20" t="s">
        <v>83</v>
      </c>
      <c r="G54" s="20" t="s">
        <v>71</v>
      </c>
      <c r="H54" s="20" t="s">
        <v>72</v>
      </c>
      <c r="I54" s="20" t="s">
        <v>104</v>
      </c>
    </row>
    <row r="55" spans="1:9" ht="26.1" customHeight="1" x14ac:dyDescent="0.25">
      <c r="A55" s="20" t="s">
        <v>267</v>
      </c>
      <c r="B55" s="20" t="s">
        <v>268</v>
      </c>
      <c r="C55" s="20" t="s">
        <v>258</v>
      </c>
      <c r="D55" s="20" t="s">
        <v>269</v>
      </c>
      <c r="E55" s="20" t="s">
        <v>268</v>
      </c>
      <c r="F55" s="20" t="s">
        <v>270</v>
      </c>
      <c r="G55" s="20" t="s">
        <v>78</v>
      </c>
      <c r="H55" s="20" t="s">
        <v>72</v>
      </c>
      <c r="I55" s="20" t="s">
        <v>271</v>
      </c>
    </row>
    <row r="56" spans="1:9" ht="26.1" customHeight="1" x14ac:dyDescent="0.25">
      <c r="A56" s="20" t="s">
        <v>272</v>
      </c>
      <c r="B56" s="20" t="s">
        <v>273</v>
      </c>
      <c r="C56" s="20" t="s">
        <v>258</v>
      </c>
      <c r="D56" s="20" t="s">
        <v>274</v>
      </c>
      <c r="E56" s="20" t="s">
        <v>273</v>
      </c>
      <c r="F56" s="20" t="s">
        <v>83</v>
      </c>
      <c r="G56" s="20" t="s">
        <v>78</v>
      </c>
      <c r="H56" s="20" t="s">
        <v>72</v>
      </c>
      <c r="I56" s="20" t="s">
        <v>275</v>
      </c>
    </row>
    <row r="57" spans="1:9" ht="26.1" customHeight="1" x14ac:dyDescent="0.25">
      <c r="A57" s="20" t="s">
        <v>276</v>
      </c>
      <c r="B57" s="20" t="s">
        <v>277</v>
      </c>
      <c r="C57" s="20" t="s">
        <v>258</v>
      </c>
      <c r="D57" s="20" t="s">
        <v>278</v>
      </c>
      <c r="E57" s="20" t="s">
        <v>277</v>
      </c>
      <c r="F57" s="20" t="s">
        <v>270</v>
      </c>
      <c r="G57" s="20" t="s">
        <v>71</v>
      </c>
      <c r="H57" s="20" t="s">
        <v>72</v>
      </c>
      <c r="I57" s="20" t="s">
        <v>279</v>
      </c>
    </row>
    <row r="58" spans="1:9" ht="26.1" customHeight="1" x14ac:dyDescent="0.25">
      <c r="A58" s="20" t="s">
        <v>280</v>
      </c>
      <c r="B58" s="20" t="s">
        <v>281</v>
      </c>
      <c r="C58" s="20" t="s">
        <v>258</v>
      </c>
      <c r="D58" s="20" t="s">
        <v>282</v>
      </c>
      <c r="E58" s="20" t="s">
        <v>281</v>
      </c>
      <c r="F58" s="20" t="s">
        <v>151</v>
      </c>
      <c r="G58" s="20" t="s">
        <v>78</v>
      </c>
      <c r="H58" s="20" t="s">
        <v>72</v>
      </c>
      <c r="I58" s="20" t="s">
        <v>283</v>
      </c>
    </row>
    <row r="59" spans="1:9" ht="26.1" customHeight="1" x14ac:dyDescent="0.25">
      <c r="A59" s="20" t="s">
        <v>284</v>
      </c>
      <c r="B59" s="20" t="s">
        <v>285</v>
      </c>
      <c r="C59" s="20" t="s">
        <v>286</v>
      </c>
      <c r="D59" s="20" t="s">
        <v>287</v>
      </c>
      <c r="E59" s="20" t="s">
        <v>285</v>
      </c>
      <c r="F59" s="20" t="s">
        <v>128</v>
      </c>
      <c r="G59" s="20" t="s">
        <v>71</v>
      </c>
      <c r="H59" s="20" t="s">
        <v>72</v>
      </c>
      <c r="I59" s="20" t="s">
        <v>104</v>
      </c>
    </row>
    <row r="60" spans="1:9" ht="26.1" customHeight="1" x14ac:dyDescent="0.25">
      <c r="A60" s="20" t="s">
        <v>288</v>
      </c>
      <c r="B60" s="20" t="s">
        <v>289</v>
      </c>
      <c r="C60" s="20" t="s">
        <v>286</v>
      </c>
      <c r="D60" s="20" t="s">
        <v>290</v>
      </c>
      <c r="E60" s="20" t="s">
        <v>289</v>
      </c>
      <c r="F60" s="20" t="s">
        <v>83</v>
      </c>
      <c r="G60" s="20" t="s">
        <v>78</v>
      </c>
      <c r="H60" s="20" t="s">
        <v>72</v>
      </c>
      <c r="I60" s="20" t="s">
        <v>291</v>
      </c>
    </row>
    <row r="61" spans="1:9" ht="26.1" customHeight="1" x14ac:dyDescent="0.25">
      <c r="A61" s="20" t="s">
        <v>292</v>
      </c>
      <c r="B61" s="20" t="s">
        <v>293</v>
      </c>
      <c r="C61" s="20" t="s">
        <v>286</v>
      </c>
      <c r="D61" s="20" t="s">
        <v>294</v>
      </c>
      <c r="E61" s="20" t="s">
        <v>293</v>
      </c>
      <c r="F61" s="20" t="s">
        <v>128</v>
      </c>
      <c r="G61" s="20" t="s">
        <v>71</v>
      </c>
      <c r="H61" s="20" t="s">
        <v>72</v>
      </c>
      <c r="I61" s="20" t="s">
        <v>295</v>
      </c>
    </row>
    <row r="62" spans="1:9" ht="26.1" customHeight="1" x14ac:dyDescent="0.25">
      <c r="A62" s="20" t="s">
        <v>296</v>
      </c>
      <c r="B62" s="20" t="s">
        <v>297</v>
      </c>
      <c r="C62" s="20" t="s">
        <v>286</v>
      </c>
      <c r="D62" s="20" t="s">
        <v>298</v>
      </c>
      <c r="E62" s="20" t="s">
        <v>297</v>
      </c>
      <c r="F62" s="20" t="s">
        <v>128</v>
      </c>
      <c r="G62" s="20" t="s">
        <v>71</v>
      </c>
      <c r="H62" s="20" t="s">
        <v>72</v>
      </c>
      <c r="I62" s="20" t="s">
        <v>299</v>
      </c>
    </row>
    <row r="63" spans="1:9" ht="26.1" customHeight="1" x14ac:dyDescent="0.25">
      <c r="A63" s="20" t="s">
        <v>300</v>
      </c>
      <c r="B63" s="20" t="s">
        <v>301</v>
      </c>
      <c r="C63" s="20" t="s">
        <v>286</v>
      </c>
      <c r="D63" s="20" t="s">
        <v>302</v>
      </c>
      <c r="E63" s="20" t="s">
        <v>301</v>
      </c>
      <c r="F63" s="20" t="s">
        <v>198</v>
      </c>
      <c r="G63" s="20" t="s">
        <v>78</v>
      </c>
      <c r="H63" s="20" t="s">
        <v>72</v>
      </c>
      <c r="I63" s="20" t="s">
        <v>303</v>
      </c>
    </row>
    <row r="64" spans="1:9" ht="26.1" customHeight="1" x14ac:dyDescent="0.25">
      <c r="A64" s="20" t="s">
        <v>304</v>
      </c>
      <c r="B64" s="20" t="s">
        <v>305</v>
      </c>
      <c r="C64" s="20" t="s">
        <v>286</v>
      </c>
      <c r="D64" s="20" t="s">
        <v>306</v>
      </c>
      <c r="E64" s="20" t="s">
        <v>305</v>
      </c>
      <c r="F64" s="20" t="s">
        <v>198</v>
      </c>
      <c r="G64" s="20" t="s">
        <v>71</v>
      </c>
      <c r="H64" s="20" t="s">
        <v>72</v>
      </c>
      <c r="I64" s="20" t="s">
        <v>307</v>
      </c>
    </row>
    <row r="65" spans="1:9" ht="26.1" customHeight="1" x14ac:dyDescent="0.25">
      <c r="A65" s="20" t="s">
        <v>308</v>
      </c>
      <c r="B65" s="20" t="s">
        <v>309</v>
      </c>
      <c r="C65" s="20" t="s">
        <v>286</v>
      </c>
      <c r="D65" s="20" t="s">
        <v>310</v>
      </c>
      <c r="E65" s="20" t="s">
        <v>309</v>
      </c>
      <c r="F65" s="20" t="s">
        <v>128</v>
      </c>
      <c r="G65" s="20" t="s">
        <v>78</v>
      </c>
      <c r="H65" s="20" t="s">
        <v>72</v>
      </c>
      <c r="I65" s="20" t="s">
        <v>311</v>
      </c>
    </row>
    <row r="66" spans="1:9" ht="26.1" customHeight="1" x14ac:dyDescent="0.25">
      <c r="A66" s="20" t="s">
        <v>312</v>
      </c>
      <c r="B66" s="20" t="s">
        <v>313</v>
      </c>
      <c r="C66" s="20" t="s">
        <v>314</v>
      </c>
      <c r="D66" s="20" t="s">
        <v>315</v>
      </c>
      <c r="E66" s="20" t="s">
        <v>313</v>
      </c>
      <c r="F66" s="20" t="s">
        <v>239</v>
      </c>
      <c r="G66" s="20" t="s">
        <v>71</v>
      </c>
      <c r="H66" s="20" t="s">
        <v>72</v>
      </c>
      <c r="I66" s="20" t="s">
        <v>104</v>
      </c>
    </row>
    <row r="67" spans="1:9" ht="26.1" customHeight="1" x14ac:dyDescent="0.25">
      <c r="A67" s="20" t="s">
        <v>316</v>
      </c>
      <c r="B67" s="20" t="s">
        <v>317</v>
      </c>
      <c r="C67" s="20" t="s">
        <v>314</v>
      </c>
      <c r="D67" s="20" t="s">
        <v>318</v>
      </c>
      <c r="E67" s="20" t="s">
        <v>317</v>
      </c>
      <c r="F67" s="20" t="s">
        <v>239</v>
      </c>
      <c r="G67" s="20" t="s">
        <v>78</v>
      </c>
      <c r="H67" s="20" t="s">
        <v>72</v>
      </c>
      <c r="I67" s="20" t="s">
        <v>319</v>
      </c>
    </row>
    <row r="68" spans="1:9" ht="26.1" customHeight="1" x14ac:dyDescent="0.25">
      <c r="A68" s="20" t="s">
        <v>320</v>
      </c>
      <c r="B68" s="20" t="s">
        <v>321</v>
      </c>
      <c r="C68" s="20" t="s">
        <v>314</v>
      </c>
      <c r="D68" s="20" t="s">
        <v>322</v>
      </c>
      <c r="E68" s="20" t="s">
        <v>321</v>
      </c>
      <c r="F68" s="20" t="s">
        <v>198</v>
      </c>
      <c r="G68" s="20" t="s">
        <v>78</v>
      </c>
      <c r="H68" s="20" t="s">
        <v>72</v>
      </c>
      <c r="I68" s="20" t="s">
        <v>319</v>
      </c>
    </row>
    <row r="69" spans="1:9" ht="26.1" customHeight="1" x14ac:dyDescent="0.25">
      <c r="A69" s="20" t="s">
        <v>323</v>
      </c>
      <c r="B69" s="20" t="s">
        <v>324</v>
      </c>
      <c r="C69" s="20" t="s">
        <v>314</v>
      </c>
      <c r="D69" s="20" t="s">
        <v>325</v>
      </c>
      <c r="E69" s="20" t="s">
        <v>324</v>
      </c>
      <c r="F69" s="20" t="s">
        <v>326</v>
      </c>
      <c r="G69" s="20" t="s">
        <v>71</v>
      </c>
      <c r="H69" s="20" t="s">
        <v>72</v>
      </c>
      <c r="I69" s="20" t="s">
        <v>319</v>
      </c>
    </row>
    <row r="70" spans="1:9" ht="26.1" customHeight="1" x14ac:dyDescent="0.25">
      <c r="A70" s="20" t="s">
        <v>327</v>
      </c>
      <c r="B70" s="20" t="s">
        <v>328</v>
      </c>
      <c r="C70" s="20" t="s">
        <v>314</v>
      </c>
      <c r="D70" s="20" t="s">
        <v>329</v>
      </c>
      <c r="E70" s="20" t="s">
        <v>328</v>
      </c>
      <c r="F70" s="20" t="s">
        <v>330</v>
      </c>
      <c r="G70" s="20" t="s">
        <v>71</v>
      </c>
      <c r="H70" s="20" t="s">
        <v>72</v>
      </c>
      <c r="I70" s="20" t="s">
        <v>331</v>
      </c>
    </row>
    <row r="71" spans="1:9" ht="26.1" customHeight="1" x14ac:dyDescent="0.25">
      <c r="A71" s="20" t="s">
        <v>332</v>
      </c>
      <c r="B71" s="20" t="s">
        <v>333</v>
      </c>
      <c r="C71" s="20" t="s">
        <v>314</v>
      </c>
      <c r="D71" s="20" t="s">
        <v>334</v>
      </c>
      <c r="E71" s="20" t="s">
        <v>333</v>
      </c>
      <c r="F71" s="20" t="s">
        <v>326</v>
      </c>
      <c r="G71" s="20" t="s">
        <v>78</v>
      </c>
      <c r="H71" s="20" t="s">
        <v>72</v>
      </c>
      <c r="I71" s="20" t="s">
        <v>335</v>
      </c>
    </row>
    <row r="72" spans="1:9" ht="26.1" customHeight="1" x14ac:dyDescent="0.25">
      <c r="A72" s="20" t="s">
        <v>336</v>
      </c>
      <c r="B72" s="20" t="s">
        <v>337</v>
      </c>
      <c r="C72" s="20" t="s">
        <v>314</v>
      </c>
      <c r="D72" s="20" t="s">
        <v>338</v>
      </c>
      <c r="E72" s="20" t="s">
        <v>337</v>
      </c>
      <c r="F72" s="20" t="s">
        <v>326</v>
      </c>
      <c r="G72" s="20" t="s">
        <v>78</v>
      </c>
      <c r="H72" s="20" t="s">
        <v>72</v>
      </c>
      <c r="I72" s="20" t="s">
        <v>331</v>
      </c>
    </row>
    <row r="73" spans="1:9" ht="26.1" customHeight="1" x14ac:dyDescent="0.25">
      <c r="A73" s="20" t="s">
        <v>339</v>
      </c>
      <c r="B73" s="20" t="s">
        <v>340</v>
      </c>
      <c r="C73" s="20" t="s">
        <v>314</v>
      </c>
      <c r="D73" s="20" t="s">
        <v>341</v>
      </c>
      <c r="E73" s="20" t="s">
        <v>340</v>
      </c>
      <c r="F73" s="20" t="s">
        <v>151</v>
      </c>
      <c r="G73" s="20" t="s">
        <v>94</v>
      </c>
      <c r="H73" s="20" t="s">
        <v>72</v>
      </c>
      <c r="I73" s="20" t="s">
        <v>342</v>
      </c>
    </row>
    <row r="74" spans="1:9" ht="26.1" customHeight="1" x14ac:dyDescent="0.25">
      <c r="A74" s="20" t="s">
        <v>343</v>
      </c>
      <c r="B74" s="20" t="s">
        <v>344</v>
      </c>
      <c r="C74" s="20" t="s">
        <v>345</v>
      </c>
      <c r="D74" s="20" t="s">
        <v>346</v>
      </c>
      <c r="E74" s="20" t="s">
        <v>344</v>
      </c>
      <c r="F74" s="20" t="s">
        <v>83</v>
      </c>
      <c r="G74" s="20" t="s">
        <v>71</v>
      </c>
      <c r="H74" s="20" t="s">
        <v>72</v>
      </c>
      <c r="I74" s="20" t="s">
        <v>115</v>
      </c>
    </row>
    <row r="75" spans="1:9" ht="26.1" customHeight="1" x14ac:dyDescent="0.25">
      <c r="A75" s="20" t="s">
        <v>347</v>
      </c>
      <c r="B75" s="20" t="s">
        <v>348</v>
      </c>
      <c r="C75" s="20" t="s">
        <v>345</v>
      </c>
      <c r="D75" s="20" t="s">
        <v>349</v>
      </c>
      <c r="E75" s="20" t="s">
        <v>348</v>
      </c>
      <c r="F75" s="20" t="s">
        <v>350</v>
      </c>
      <c r="G75" s="20" t="s">
        <v>78</v>
      </c>
      <c r="H75" s="20" t="s">
        <v>72</v>
      </c>
      <c r="I75" s="20" t="s">
        <v>351</v>
      </c>
    </row>
    <row r="76" spans="1:9" ht="26.1" customHeight="1" x14ac:dyDescent="0.25">
      <c r="A76" s="20" t="s">
        <v>352</v>
      </c>
      <c r="B76" s="20" t="s">
        <v>353</v>
      </c>
      <c r="C76" s="20" t="s">
        <v>345</v>
      </c>
      <c r="D76" s="20" t="s">
        <v>354</v>
      </c>
      <c r="E76" s="20" t="s">
        <v>353</v>
      </c>
      <c r="F76" s="20" t="s">
        <v>350</v>
      </c>
      <c r="G76" s="20" t="s">
        <v>71</v>
      </c>
      <c r="H76" s="20" t="s">
        <v>72</v>
      </c>
      <c r="I76" s="20" t="s">
        <v>351</v>
      </c>
    </row>
    <row r="77" spans="1:9" ht="26.1" customHeight="1" x14ac:dyDescent="0.25">
      <c r="A77" s="20" t="s">
        <v>355</v>
      </c>
      <c r="B77" s="20" t="s">
        <v>356</v>
      </c>
      <c r="C77" s="20" t="s">
        <v>345</v>
      </c>
      <c r="D77" s="20" t="s">
        <v>357</v>
      </c>
      <c r="E77" s="20" t="s">
        <v>356</v>
      </c>
      <c r="F77" s="20" t="s">
        <v>198</v>
      </c>
      <c r="G77" s="20" t="s">
        <v>94</v>
      </c>
      <c r="H77" s="20" t="s">
        <v>72</v>
      </c>
      <c r="I77" s="20" t="s">
        <v>123</v>
      </c>
    </row>
    <row r="78" spans="1:9" ht="26.1" customHeight="1" x14ac:dyDescent="0.25">
      <c r="A78" s="20" t="s">
        <v>358</v>
      </c>
      <c r="B78" s="20" t="s">
        <v>359</v>
      </c>
      <c r="C78" s="20" t="s">
        <v>345</v>
      </c>
      <c r="D78" s="20" t="s">
        <v>360</v>
      </c>
      <c r="E78" s="20" t="s">
        <v>359</v>
      </c>
      <c r="F78" s="20" t="s">
        <v>198</v>
      </c>
      <c r="G78" s="20" t="s">
        <v>71</v>
      </c>
      <c r="H78" s="20" t="s">
        <v>72</v>
      </c>
      <c r="I78" s="20" t="s">
        <v>361</v>
      </c>
    </row>
    <row r="79" spans="1:9" ht="26.1" customHeight="1" x14ac:dyDescent="0.25">
      <c r="A79" s="20" t="s">
        <v>362</v>
      </c>
      <c r="B79" s="20" t="s">
        <v>363</v>
      </c>
      <c r="C79" s="20" t="s">
        <v>345</v>
      </c>
      <c r="D79" s="20" t="s">
        <v>364</v>
      </c>
      <c r="E79" s="20" t="s">
        <v>363</v>
      </c>
      <c r="F79" s="20" t="s">
        <v>350</v>
      </c>
      <c r="G79" s="20" t="s">
        <v>78</v>
      </c>
      <c r="H79" s="20" t="s">
        <v>72</v>
      </c>
      <c r="I79" s="20" t="s">
        <v>365</v>
      </c>
    </row>
    <row r="80" spans="1:9" ht="26.1" customHeight="1" x14ac:dyDescent="0.25">
      <c r="A80" s="20" t="s">
        <v>366</v>
      </c>
      <c r="B80" s="20" t="s">
        <v>367</v>
      </c>
      <c r="C80" s="20" t="s">
        <v>345</v>
      </c>
      <c r="D80" s="20" t="s">
        <v>368</v>
      </c>
      <c r="E80" s="20" t="s">
        <v>367</v>
      </c>
      <c r="F80" s="20" t="s">
        <v>83</v>
      </c>
      <c r="G80" s="20" t="s">
        <v>71</v>
      </c>
      <c r="H80" s="20" t="s">
        <v>72</v>
      </c>
      <c r="I80" s="20" t="s">
        <v>365</v>
      </c>
    </row>
    <row r="81" spans="1:9" ht="26.1" customHeight="1" x14ac:dyDescent="0.25">
      <c r="A81" s="20" t="s">
        <v>369</v>
      </c>
      <c r="B81" s="20" t="s">
        <v>370</v>
      </c>
      <c r="C81" s="20" t="s">
        <v>345</v>
      </c>
      <c r="D81" s="20" t="s">
        <v>371</v>
      </c>
      <c r="E81" s="20" t="s">
        <v>370</v>
      </c>
      <c r="F81" s="20" t="s">
        <v>151</v>
      </c>
      <c r="G81" s="20" t="s">
        <v>94</v>
      </c>
      <c r="H81" s="20" t="s">
        <v>72</v>
      </c>
      <c r="I81" s="20" t="s">
        <v>372</v>
      </c>
    </row>
    <row r="82" spans="1:9" ht="26.1" customHeight="1" x14ac:dyDescent="0.25">
      <c r="A82" s="20" t="s">
        <v>373</v>
      </c>
      <c r="B82" s="20" t="s">
        <v>374</v>
      </c>
      <c r="C82" s="20" t="s">
        <v>375</v>
      </c>
      <c r="D82" s="20" t="s">
        <v>376</v>
      </c>
      <c r="E82" s="20" t="s">
        <v>374</v>
      </c>
      <c r="F82" s="20" t="s">
        <v>151</v>
      </c>
      <c r="G82" s="20" t="s">
        <v>78</v>
      </c>
      <c r="H82" s="20" t="s">
        <v>72</v>
      </c>
      <c r="I82" s="20" t="s">
        <v>377</v>
      </c>
    </row>
    <row r="83" spans="1:9" ht="26.1" customHeight="1" x14ac:dyDescent="0.25">
      <c r="A83" s="20" t="s">
        <v>378</v>
      </c>
      <c r="B83" s="20" t="s">
        <v>379</v>
      </c>
      <c r="C83" s="20" t="s">
        <v>375</v>
      </c>
      <c r="D83" s="20" t="s">
        <v>380</v>
      </c>
      <c r="E83" s="20" t="s">
        <v>379</v>
      </c>
      <c r="F83" s="20" t="s">
        <v>151</v>
      </c>
      <c r="G83" s="20" t="s">
        <v>78</v>
      </c>
      <c r="H83" s="20" t="s">
        <v>72</v>
      </c>
      <c r="I83" s="20" t="s">
        <v>104</v>
      </c>
    </row>
    <row r="84" spans="1:9" ht="26.1" customHeight="1" x14ac:dyDescent="0.25">
      <c r="A84" s="20" t="s">
        <v>381</v>
      </c>
      <c r="B84" s="20" t="s">
        <v>382</v>
      </c>
      <c r="C84" s="20" t="s">
        <v>375</v>
      </c>
      <c r="D84" s="20" t="s">
        <v>383</v>
      </c>
      <c r="E84" s="20" t="s">
        <v>382</v>
      </c>
      <c r="F84" s="20" t="s">
        <v>151</v>
      </c>
      <c r="G84" s="20" t="s">
        <v>71</v>
      </c>
      <c r="H84" s="20" t="s">
        <v>72</v>
      </c>
      <c r="I84" s="20" t="s">
        <v>384</v>
      </c>
    </row>
    <row r="85" spans="1:9" ht="26.1" customHeight="1" x14ac:dyDescent="0.25">
      <c r="A85" s="20" t="s">
        <v>385</v>
      </c>
      <c r="B85" s="20" t="s">
        <v>386</v>
      </c>
      <c r="C85" s="20" t="s">
        <v>375</v>
      </c>
      <c r="D85" s="20" t="s">
        <v>387</v>
      </c>
      <c r="E85" s="20" t="s">
        <v>386</v>
      </c>
      <c r="F85" s="20" t="s">
        <v>224</v>
      </c>
      <c r="G85" s="20" t="s">
        <v>71</v>
      </c>
      <c r="H85" s="20" t="s">
        <v>72</v>
      </c>
      <c r="I85" s="20" t="s">
        <v>147</v>
      </c>
    </row>
    <row r="86" spans="1:9" ht="26.1" customHeight="1" x14ac:dyDescent="0.25">
      <c r="A86" s="20" t="s">
        <v>388</v>
      </c>
      <c r="B86" s="20" t="s">
        <v>389</v>
      </c>
      <c r="C86" s="20" t="s">
        <v>375</v>
      </c>
      <c r="D86" s="20" t="s">
        <v>390</v>
      </c>
      <c r="E86" s="20" t="s">
        <v>389</v>
      </c>
      <c r="F86" s="20" t="s">
        <v>151</v>
      </c>
      <c r="G86" s="20" t="s">
        <v>78</v>
      </c>
      <c r="H86" s="20" t="s">
        <v>72</v>
      </c>
      <c r="I86" s="20" t="s">
        <v>147</v>
      </c>
    </row>
    <row r="87" spans="1:9" ht="26.1" customHeight="1" x14ac:dyDescent="0.25">
      <c r="A87" s="20" t="s">
        <v>391</v>
      </c>
      <c r="B87" s="20" t="s">
        <v>392</v>
      </c>
      <c r="C87" s="20" t="s">
        <v>375</v>
      </c>
      <c r="D87" s="20" t="s">
        <v>393</v>
      </c>
      <c r="E87" s="20" t="s">
        <v>392</v>
      </c>
      <c r="F87" s="20" t="s">
        <v>394</v>
      </c>
      <c r="G87" s="20" t="s">
        <v>71</v>
      </c>
      <c r="H87" s="20" t="s">
        <v>72</v>
      </c>
      <c r="I87" s="20" t="s">
        <v>395</v>
      </c>
    </row>
    <row r="88" spans="1:9" ht="26.1" customHeight="1" x14ac:dyDescent="0.25">
      <c r="A88" s="20" t="s">
        <v>396</v>
      </c>
      <c r="B88" s="20" t="s">
        <v>397</v>
      </c>
      <c r="C88" s="20" t="s">
        <v>375</v>
      </c>
      <c r="D88" s="20" t="s">
        <v>398</v>
      </c>
      <c r="E88" s="20" t="s">
        <v>397</v>
      </c>
      <c r="F88" s="20" t="s">
        <v>198</v>
      </c>
      <c r="G88" s="20" t="s">
        <v>78</v>
      </c>
      <c r="H88" s="20" t="s">
        <v>72</v>
      </c>
      <c r="I88" s="20" t="s">
        <v>252</v>
      </c>
    </row>
    <row r="89" spans="1:9" ht="26.1" customHeight="1" x14ac:dyDescent="0.25">
      <c r="A89" s="20" t="s">
        <v>399</v>
      </c>
      <c r="B89" s="20" t="s">
        <v>400</v>
      </c>
      <c r="C89" s="20" t="s">
        <v>375</v>
      </c>
      <c r="D89" s="20" t="s">
        <v>401</v>
      </c>
      <c r="E89" s="20" t="s">
        <v>400</v>
      </c>
      <c r="F89" s="20" t="s">
        <v>83</v>
      </c>
      <c r="G89" s="20" t="s">
        <v>78</v>
      </c>
      <c r="H89" s="20" t="s">
        <v>72</v>
      </c>
      <c r="I89" s="20" t="s">
        <v>402</v>
      </c>
    </row>
    <row r="90" spans="1:9" ht="26.1" customHeight="1" x14ac:dyDescent="0.25">
      <c r="A90" s="20" t="s">
        <v>403</v>
      </c>
      <c r="B90" s="20" t="s">
        <v>404</v>
      </c>
      <c r="C90" s="20" t="s">
        <v>405</v>
      </c>
      <c r="D90" s="20" t="s">
        <v>406</v>
      </c>
      <c r="E90" s="20" t="s">
        <v>404</v>
      </c>
      <c r="F90" s="20" t="s">
        <v>239</v>
      </c>
      <c r="G90" s="20" t="s">
        <v>71</v>
      </c>
      <c r="H90" s="20" t="s">
        <v>72</v>
      </c>
      <c r="I90" s="20" t="s">
        <v>136</v>
      </c>
    </row>
    <row r="91" spans="1:9" ht="26.1" customHeight="1" x14ac:dyDescent="0.25">
      <c r="A91" s="20" t="s">
        <v>407</v>
      </c>
      <c r="B91" s="20" t="s">
        <v>408</v>
      </c>
      <c r="C91" s="20" t="s">
        <v>405</v>
      </c>
      <c r="D91" s="20" t="s">
        <v>409</v>
      </c>
      <c r="E91" s="20" t="s">
        <v>408</v>
      </c>
      <c r="F91" s="20" t="s">
        <v>239</v>
      </c>
      <c r="G91" s="20" t="s">
        <v>71</v>
      </c>
      <c r="H91" s="20" t="s">
        <v>72</v>
      </c>
      <c r="I91" s="20" t="s">
        <v>410</v>
      </c>
    </row>
    <row r="92" spans="1:9" ht="26.1" customHeight="1" x14ac:dyDescent="0.25">
      <c r="A92" s="20" t="s">
        <v>411</v>
      </c>
      <c r="B92" s="20" t="s">
        <v>412</v>
      </c>
      <c r="C92" s="20" t="s">
        <v>405</v>
      </c>
      <c r="D92" s="20" t="s">
        <v>413</v>
      </c>
      <c r="E92" s="20" t="s">
        <v>412</v>
      </c>
      <c r="F92" s="20" t="s">
        <v>239</v>
      </c>
      <c r="G92" s="20" t="s">
        <v>71</v>
      </c>
      <c r="H92" s="20" t="s">
        <v>72</v>
      </c>
      <c r="I92" s="20" t="s">
        <v>414</v>
      </c>
    </row>
    <row r="93" spans="1:9" ht="26.1" customHeight="1" x14ac:dyDescent="0.25">
      <c r="A93" s="20" t="s">
        <v>415</v>
      </c>
      <c r="B93" s="20" t="s">
        <v>416</v>
      </c>
      <c r="C93" s="20" t="s">
        <v>405</v>
      </c>
      <c r="D93" s="20" t="s">
        <v>417</v>
      </c>
      <c r="E93" s="20" t="s">
        <v>416</v>
      </c>
      <c r="F93" s="20" t="s">
        <v>239</v>
      </c>
      <c r="G93" s="20" t="s">
        <v>71</v>
      </c>
      <c r="H93" s="20" t="s">
        <v>72</v>
      </c>
      <c r="I93" s="20" t="s">
        <v>147</v>
      </c>
    </row>
    <row r="94" spans="1:9" ht="26.1" customHeight="1" x14ac:dyDescent="0.25">
      <c r="A94" s="20" t="s">
        <v>418</v>
      </c>
      <c r="B94" s="20" t="s">
        <v>419</v>
      </c>
      <c r="C94" s="20" t="s">
        <v>405</v>
      </c>
      <c r="D94" s="20" t="s">
        <v>420</v>
      </c>
      <c r="E94" s="20" t="s">
        <v>419</v>
      </c>
      <c r="F94" s="20" t="s">
        <v>198</v>
      </c>
      <c r="G94" s="20" t="s">
        <v>78</v>
      </c>
      <c r="H94" s="20" t="s">
        <v>72</v>
      </c>
      <c r="I94" s="20" t="s">
        <v>421</v>
      </c>
    </row>
    <row r="95" spans="1:9" ht="26.1" customHeight="1" x14ac:dyDescent="0.25">
      <c r="A95" s="20" t="s">
        <v>422</v>
      </c>
      <c r="B95" s="20" t="s">
        <v>423</v>
      </c>
      <c r="C95" s="20" t="s">
        <v>405</v>
      </c>
      <c r="D95" s="20" t="s">
        <v>424</v>
      </c>
      <c r="E95" s="20" t="s">
        <v>423</v>
      </c>
      <c r="F95" s="20" t="s">
        <v>83</v>
      </c>
      <c r="G95" s="20" t="s">
        <v>71</v>
      </c>
      <c r="H95" s="20" t="s">
        <v>72</v>
      </c>
      <c r="I95" s="20" t="s">
        <v>414</v>
      </c>
    </row>
    <row r="96" spans="1:9" ht="26.1" customHeight="1" x14ac:dyDescent="0.25">
      <c r="A96" s="20" t="s">
        <v>425</v>
      </c>
      <c r="B96" s="20" t="s">
        <v>426</v>
      </c>
      <c r="C96" s="20" t="s">
        <v>405</v>
      </c>
      <c r="D96" s="20" t="s">
        <v>427</v>
      </c>
      <c r="E96" s="20" t="s">
        <v>426</v>
      </c>
      <c r="F96" s="20" t="s">
        <v>83</v>
      </c>
      <c r="G96" s="20" t="s">
        <v>94</v>
      </c>
      <c r="H96" s="20" t="s">
        <v>72</v>
      </c>
      <c r="I96" s="20" t="s">
        <v>428</v>
      </c>
    </row>
    <row r="97" spans="1:9" ht="26.1" customHeight="1" x14ac:dyDescent="0.25">
      <c r="A97" s="20" t="s">
        <v>429</v>
      </c>
      <c r="B97" s="20" t="s">
        <v>430</v>
      </c>
      <c r="C97" s="20" t="s">
        <v>431</v>
      </c>
      <c r="D97" s="20" t="s">
        <v>432</v>
      </c>
      <c r="E97" s="20" t="s">
        <v>430</v>
      </c>
      <c r="F97" s="20" t="s">
        <v>239</v>
      </c>
      <c r="G97" s="20" t="s">
        <v>71</v>
      </c>
      <c r="H97" s="20" t="s">
        <v>72</v>
      </c>
      <c r="I97" s="20" t="s">
        <v>104</v>
      </c>
    </row>
    <row r="98" spans="1:9" ht="26.1" customHeight="1" x14ac:dyDescent="0.25">
      <c r="A98" s="20" t="s">
        <v>433</v>
      </c>
      <c r="B98" s="20" t="s">
        <v>434</v>
      </c>
      <c r="C98" s="20" t="s">
        <v>431</v>
      </c>
      <c r="D98" s="20" t="s">
        <v>435</v>
      </c>
      <c r="E98" s="20" t="s">
        <v>434</v>
      </c>
      <c r="F98" s="20" t="s">
        <v>198</v>
      </c>
      <c r="G98" s="20" t="s">
        <v>78</v>
      </c>
      <c r="H98" s="20" t="s">
        <v>72</v>
      </c>
      <c r="I98" s="20" t="s">
        <v>436</v>
      </c>
    </row>
    <row r="99" spans="1:9" ht="26.1" customHeight="1" x14ac:dyDescent="0.25">
      <c r="A99" s="20" t="s">
        <v>437</v>
      </c>
      <c r="B99" s="20" t="s">
        <v>438</v>
      </c>
      <c r="C99" s="20" t="s">
        <v>431</v>
      </c>
      <c r="D99" s="20" t="s">
        <v>439</v>
      </c>
      <c r="E99" s="20" t="s">
        <v>438</v>
      </c>
      <c r="F99" s="20" t="s">
        <v>239</v>
      </c>
      <c r="G99" s="20" t="s">
        <v>71</v>
      </c>
      <c r="H99" s="20" t="s">
        <v>72</v>
      </c>
      <c r="I99" s="20" t="s">
        <v>436</v>
      </c>
    </row>
    <row r="100" spans="1:9" ht="26.1" customHeight="1" x14ac:dyDescent="0.25">
      <c r="A100" s="20" t="s">
        <v>440</v>
      </c>
      <c r="B100" s="20" t="s">
        <v>441</v>
      </c>
      <c r="C100" s="20" t="s">
        <v>431</v>
      </c>
      <c r="D100" s="20" t="s">
        <v>442</v>
      </c>
      <c r="E100" s="20" t="s">
        <v>441</v>
      </c>
      <c r="F100" s="20" t="s">
        <v>198</v>
      </c>
      <c r="G100" s="20" t="s">
        <v>78</v>
      </c>
      <c r="H100" s="20" t="s">
        <v>72</v>
      </c>
      <c r="I100" s="20" t="s">
        <v>443</v>
      </c>
    </row>
    <row r="101" spans="1:9" ht="26.1" customHeight="1" x14ac:dyDescent="0.25">
      <c r="A101" s="20" t="s">
        <v>444</v>
      </c>
      <c r="B101" s="20" t="s">
        <v>445</v>
      </c>
      <c r="C101" s="20" t="s">
        <v>431</v>
      </c>
      <c r="D101" s="20" t="s">
        <v>446</v>
      </c>
      <c r="E101" s="20" t="s">
        <v>445</v>
      </c>
      <c r="F101" s="20" t="s">
        <v>239</v>
      </c>
      <c r="G101" s="20" t="s">
        <v>78</v>
      </c>
      <c r="H101" s="20" t="s">
        <v>72</v>
      </c>
      <c r="I101" s="20" t="s">
        <v>311</v>
      </c>
    </row>
    <row r="102" spans="1:9" ht="26.1" customHeight="1" x14ac:dyDescent="0.25">
      <c r="A102" s="20" t="s">
        <v>447</v>
      </c>
      <c r="B102" s="20" t="s">
        <v>448</v>
      </c>
      <c r="C102" s="20" t="s">
        <v>431</v>
      </c>
      <c r="D102" s="20" t="s">
        <v>449</v>
      </c>
      <c r="E102" s="20" t="s">
        <v>448</v>
      </c>
      <c r="F102" s="20" t="s">
        <v>198</v>
      </c>
      <c r="G102" s="20" t="s">
        <v>78</v>
      </c>
      <c r="H102" s="20" t="s">
        <v>72</v>
      </c>
      <c r="I102" s="20" t="s">
        <v>450</v>
      </c>
    </row>
    <row r="103" spans="1:9" ht="26.1" customHeight="1" x14ac:dyDescent="0.25">
      <c r="A103" s="20" t="s">
        <v>451</v>
      </c>
      <c r="B103" s="20" t="s">
        <v>452</v>
      </c>
      <c r="C103" s="20" t="s">
        <v>431</v>
      </c>
      <c r="D103" s="20" t="s">
        <v>453</v>
      </c>
      <c r="E103" s="20" t="s">
        <v>452</v>
      </c>
      <c r="F103" s="20" t="s">
        <v>454</v>
      </c>
      <c r="G103" s="20" t="s">
        <v>94</v>
      </c>
      <c r="H103" s="20" t="s">
        <v>72</v>
      </c>
      <c r="I103" s="20" t="s">
        <v>450</v>
      </c>
    </row>
    <row r="104" spans="1:9" ht="26.1" customHeight="1" x14ac:dyDescent="0.25">
      <c r="A104" s="20" t="s">
        <v>455</v>
      </c>
      <c r="B104" s="20" t="s">
        <v>456</v>
      </c>
      <c r="C104" s="20" t="s">
        <v>431</v>
      </c>
      <c r="D104" s="20" t="s">
        <v>457</v>
      </c>
      <c r="E104" s="20" t="s">
        <v>456</v>
      </c>
      <c r="F104" s="20" t="s">
        <v>151</v>
      </c>
      <c r="G104" s="20" t="s">
        <v>94</v>
      </c>
      <c r="H104" s="20" t="s">
        <v>72</v>
      </c>
      <c r="I104" s="20" t="s">
        <v>458</v>
      </c>
    </row>
    <row r="105" spans="1:9" ht="26.1" customHeight="1" x14ac:dyDescent="0.25">
      <c r="A105" s="20" t="s">
        <v>459</v>
      </c>
      <c r="B105" s="20" t="s">
        <v>460</v>
      </c>
      <c r="C105" s="20" t="s">
        <v>68</v>
      </c>
      <c r="D105" s="20" t="s">
        <v>461</v>
      </c>
      <c r="E105" s="20" t="s">
        <v>460</v>
      </c>
      <c r="F105" s="20" t="s">
        <v>83</v>
      </c>
      <c r="G105" s="20" t="s">
        <v>71</v>
      </c>
      <c r="H105" s="20" t="s">
        <v>23</v>
      </c>
      <c r="I105" s="20" t="s">
        <v>462</v>
      </c>
    </row>
    <row r="106" spans="1:9" ht="26.1" customHeight="1" x14ac:dyDescent="0.25">
      <c r="A106" s="20" t="s">
        <v>463</v>
      </c>
      <c r="B106" s="20" t="s">
        <v>464</v>
      </c>
      <c r="C106" s="20" t="s">
        <v>68</v>
      </c>
      <c r="D106" s="20" t="s">
        <v>465</v>
      </c>
      <c r="E106" s="20" t="s">
        <v>464</v>
      </c>
      <c r="F106" s="20" t="s">
        <v>83</v>
      </c>
      <c r="G106" s="20" t="s">
        <v>71</v>
      </c>
      <c r="H106" s="20" t="s">
        <v>23</v>
      </c>
      <c r="I106" s="20" t="s">
        <v>466</v>
      </c>
    </row>
    <row r="107" spans="1:9" ht="26.1" customHeight="1" x14ac:dyDescent="0.25">
      <c r="A107" s="20" t="s">
        <v>467</v>
      </c>
      <c r="B107" s="20" t="s">
        <v>468</v>
      </c>
      <c r="C107" s="20" t="s">
        <v>68</v>
      </c>
      <c r="D107" s="20" t="s">
        <v>469</v>
      </c>
      <c r="E107" s="20" t="s">
        <v>468</v>
      </c>
      <c r="F107" s="20" t="s">
        <v>83</v>
      </c>
      <c r="G107" s="20" t="s">
        <v>71</v>
      </c>
      <c r="H107" s="20" t="s">
        <v>23</v>
      </c>
      <c r="I107" s="20" t="s">
        <v>470</v>
      </c>
    </row>
    <row r="108" spans="1:9" ht="26.1" customHeight="1" x14ac:dyDescent="0.25">
      <c r="A108" s="20" t="s">
        <v>471</v>
      </c>
      <c r="B108" s="20" t="s">
        <v>472</v>
      </c>
      <c r="C108" s="20" t="s">
        <v>473</v>
      </c>
      <c r="D108" s="20" t="s">
        <v>474</v>
      </c>
      <c r="E108" s="20" t="s">
        <v>472</v>
      </c>
      <c r="F108" s="20" t="s">
        <v>83</v>
      </c>
      <c r="G108" s="20" t="s">
        <v>71</v>
      </c>
      <c r="H108" s="20" t="s">
        <v>23</v>
      </c>
      <c r="I108" s="20" t="s">
        <v>475</v>
      </c>
    </row>
    <row r="109" spans="1:9" ht="26.1" customHeight="1" x14ac:dyDescent="0.25">
      <c r="A109" s="20" t="s">
        <v>476</v>
      </c>
      <c r="B109" s="20" t="s">
        <v>477</v>
      </c>
      <c r="C109" s="20" t="s">
        <v>473</v>
      </c>
      <c r="D109" s="20" t="s">
        <v>478</v>
      </c>
      <c r="E109" s="20" t="s">
        <v>477</v>
      </c>
      <c r="F109" s="20" t="s">
        <v>83</v>
      </c>
      <c r="G109" s="20" t="s">
        <v>71</v>
      </c>
      <c r="H109" s="20" t="s">
        <v>23</v>
      </c>
      <c r="I109" s="20" t="s">
        <v>479</v>
      </c>
    </row>
    <row r="110" spans="1:9" ht="26.1" customHeight="1" x14ac:dyDescent="0.25">
      <c r="A110" s="20" t="s">
        <v>480</v>
      </c>
      <c r="B110" s="20" t="s">
        <v>481</v>
      </c>
      <c r="C110" s="20" t="s">
        <v>473</v>
      </c>
      <c r="D110" s="20" t="s">
        <v>482</v>
      </c>
      <c r="E110" s="20" t="s">
        <v>481</v>
      </c>
      <c r="F110" s="20" t="s">
        <v>83</v>
      </c>
      <c r="G110" s="20" t="s">
        <v>78</v>
      </c>
      <c r="H110" s="20" t="s">
        <v>23</v>
      </c>
      <c r="I110" s="20" t="s">
        <v>483</v>
      </c>
    </row>
    <row r="111" spans="1:9" ht="26.1" customHeight="1" x14ac:dyDescent="0.25">
      <c r="A111" s="20" t="s">
        <v>484</v>
      </c>
      <c r="B111" s="20" t="s">
        <v>485</v>
      </c>
      <c r="C111" s="20" t="s">
        <v>473</v>
      </c>
      <c r="D111" s="20" t="s">
        <v>486</v>
      </c>
      <c r="E111" s="20" t="s">
        <v>485</v>
      </c>
      <c r="F111" s="20" t="s">
        <v>83</v>
      </c>
      <c r="G111" s="20" t="s">
        <v>71</v>
      </c>
      <c r="H111" s="20" t="s">
        <v>23</v>
      </c>
      <c r="I111" s="20" t="s">
        <v>487</v>
      </c>
    </row>
    <row r="112" spans="1:9" ht="26.1" customHeight="1" x14ac:dyDescent="0.25">
      <c r="A112" s="20" t="s">
        <v>488</v>
      </c>
      <c r="B112" s="20" t="s">
        <v>489</v>
      </c>
      <c r="C112" s="20" t="s">
        <v>473</v>
      </c>
      <c r="D112" s="20" t="s">
        <v>490</v>
      </c>
      <c r="E112" s="20" t="s">
        <v>489</v>
      </c>
      <c r="F112" s="20" t="s">
        <v>83</v>
      </c>
      <c r="G112" s="20" t="s">
        <v>71</v>
      </c>
      <c r="H112" s="20" t="s">
        <v>23</v>
      </c>
      <c r="I112" s="20" t="s">
        <v>491</v>
      </c>
    </row>
    <row r="113" spans="1:9" ht="26.1" customHeight="1" x14ac:dyDescent="0.25">
      <c r="A113" s="20" t="s">
        <v>492</v>
      </c>
      <c r="B113" s="20" t="s">
        <v>493</v>
      </c>
      <c r="C113" s="20" t="s">
        <v>473</v>
      </c>
      <c r="D113" s="20" t="s">
        <v>494</v>
      </c>
      <c r="E113" s="20" t="s">
        <v>493</v>
      </c>
      <c r="F113" s="20" t="s">
        <v>83</v>
      </c>
      <c r="G113" s="20" t="s">
        <v>78</v>
      </c>
      <c r="H113" s="20" t="s">
        <v>23</v>
      </c>
      <c r="I113" s="20" t="s">
        <v>495</v>
      </c>
    </row>
    <row r="114" spans="1:9" ht="26.1" customHeight="1" x14ac:dyDescent="0.25">
      <c r="A114" s="20" t="s">
        <v>496</v>
      </c>
      <c r="B114" s="20" t="s">
        <v>497</v>
      </c>
      <c r="C114" s="20" t="s">
        <v>498</v>
      </c>
      <c r="D114" s="20" t="s">
        <v>499</v>
      </c>
      <c r="E114" s="20" t="s">
        <v>497</v>
      </c>
      <c r="F114" s="20" t="s">
        <v>500</v>
      </c>
      <c r="G114" s="20" t="s">
        <v>71</v>
      </c>
      <c r="H114" s="20" t="s">
        <v>23</v>
      </c>
      <c r="I114" s="20" t="s">
        <v>501</v>
      </c>
    </row>
    <row r="115" spans="1:9" ht="26.1" customHeight="1" x14ac:dyDescent="0.25">
      <c r="A115" s="20" t="s">
        <v>502</v>
      </c>
      <c r="B115" s="20" t="s">
        <v>503</v>
      </c>
      <c r="C115" s="20" t="s">
        <v>498</v>
      </c>
      <c r="D115" s="20" t="s">
        <v>504</v>
      </c>
      <c r="E115" s="20" t="s">
        <v>503</v>
      </c>
      <c r="F115" s="20" t="s">
        <v>500</v>
      </c>
      <c r="G115" s="20" t="s">
        <v>71</v>
      </c>
      <c r="H115" s="20" t="s">
        <v>23</v>
      </c>
      <c r="I115" s="20" t="s">
        <v>505</v>
      </c>
    </row>
    <row r="116" spans="1:9" ht="26.1" customHeight="1" x14ac:dyDescent="0.25">
      <c r="A116" s="20" t="s">
        <v>506</v>
      </c>
      <c r="B116" s="20" t="s">
        <v>507</v>
      </c>
      <c r="C116" s="20" t="s">
        <v>498</v>
      </c>
      <c r="D116" s="20" t="s">
        <v>508</v>
      </c>
      <c r="E116" s="20" t="s">
        <v>507</v>
      </c>
      <c r="F116" s="20" t="s">
        <v>151</v>
      </c>
      <c r="G116" s="20" t="s">
        <v>71</v>
      </c>
      <c r="H116" s="20" t="s">
        <v>23</v>
      </c>
      <c r="I116" s="20" t="s">
        <v>509</v>
      </c>
    </row>
    <row r="117" spans="1:9" ht="26.1" customHeight="1" x14ac:dyDescent="0.25">
      <c r="A117" s="20" t="s">
        <v>510</v>
      </c>
      <c r="B117" s="20" t="s">
        <v>511</v>
      </c>
      <c r="C117" s="20" t="s">
        <v>498</v>
      </c>
      <c r="D117" s="20" t="s">
        <v>512</v>
      </c>
      <c r="E117" s="20" t="s">
        <v>511</v>
      </c>
      <c r="F117" s="20" t="s">
        <v>270</v>
      </c>
      <c r="G117" s="20" t="s">
        <v>71</v>
      </c>
      <c r="H117" s="20" t="s">
        <v>23</v>
      </c>
      <c r="I117" s="20" t="s">
        <v>513</v>
      </c>
    </row>
    <row r="118" spans="1:9" ht="26.1" customHeight="1" x14ac:dyDescent="0.25">
      <c r="A118" s="20" t="s">
        <v>514</v>
      </c>
      <c r="B118" s="20" t="s">
        <v>515</v>
      </c>
      <c r="C118" s="20" t="s">
        <v>498</v>
      </c>
      <c r="D118" s="20" t="s">
        <v>516</v>
      </c>
      <c r="E118" s="20" t="s">
        <v>515</v>
      </c>
      <c r="F118" s="20" t="s">
        <v>517</v>
      </c>
      <c r="G118" s="20" t="s">
        <v>78</v>
      </c>
      <c r="H118" s="20" t="s">
        <v>23</v>
      </c>
      <c r="I118" s="20" t="s">
        <v>518</v>
      </c>
    </row>
    <row r="119" spans="1:9" ht="26.1" customHeight="1" x14ac:dyDescent="0.25">
      <c r="A119" s="20" t="s">
        <v>519</v>
      </c>
      <c r="B119" s="20" t="s">
        <v>520</v>
      </c>
      <c r="C119" s="20" t="s">
        <v>258</v>
      </c>
      <c r="D119" s="20" t="s">
        <v>521</v>
      </c>
      <c r="E119" s="20" t="s">
        <v>520</v>
      </c>
      <c r="F119" s="20" t="s">
        <v>270</v>
      </c>
      <c r="G119" s="20" t="s">
        <v>71</v>
      </c>
      <c r="H119" s="20" t="s">
        <v>23</v>
      </c>
      <c r="I119" s="20" t="s">
        <v>522</v>
      </c>
    </row>
    <row r="120" spans="1:9" ht="26.1" customHeight="1" x14ac:dyDescent="0.25">
      <c r="A120" s="20" t="s">
        <v>523</v>
      </c>
      <c r="B120" s="20" t="s">
        <v>524</v>
      </c>
      <c r="C120" s="20" t="s">
        <v>258</v>
      </c>
      <c r="D120" s="20" t="s">
        <v>525</v>
      </c>
      <c r="E120" s="20" t="s">
        <v>524</v>
      </c>
      <c r="F120" s="20" t="s">
        <v>270</v>
      </c>
      <c r="G120" s="20" t="s">
        <v>71</v>
      </c>
      <c r="H120" s="20" t="s">
        <v>23</v>
      </c>
      <c r="I120" s="20" t="s">
        <v>526</v>
      </c>
    </row>
    <row r="121" spans="1:9" ht="26.1" customHeight="1" x14ac:dyDescent="0.25">
      <c r="A121" s="20" t="s">
        <v>527</v>
      </c>
      <c r="B121" s="20" t="s">
        <v>528</v>
      </c>
      <c r="C121" s="20" t="s">
        <v>258</v>
      </c>
      <c r="D121" s="20" t="s">
        <v>529</v>
      </c>
      <c r="E121" s="20" t="s">
        <v>528</v>
      </c>
      <c r="F121" s="20" t="s">
        <v>83</v>
      </c>
      <c r="G121" s="20" t="s">
        <v>71</v>
      </c>
      <c r="H121" s="20" t="s">
        <v>23</v>
      </c>
      <c r="I121" s="20" t="s">
        <v>530</v>
      </c>
    </row>
    <row r="122" spans="1:9" ht="26.1" customHeight="1" x14ac:dyDescent="0.25">
      <c r="A122" s="20" t="s">
        <v>531</v>
      </c>
      <c r="B122" s="20" t="s">
        <v>532</v>
      </c>
      <c r="C122" s="20" t="s">
        <v>258</v>
      </c>
      <c r="D122" s="20" t="s">
        <v>533</v>
      </c>
      <c r="E122" s="20" t="s">
        <v>532</v>
      </c>
      <c r="F122" s="20" t="s">
        <v>270</v>
      </c>
      <c r="G122" s="20" t="s">
        <v>78</v>
      </c>
      <c r="H122" s="20" t="s">
        <v>23</v>
      </c>
      <c r="I122" s="20" t="s">
        <v>534</v>
      </c>
    </row>
    <row r="123" spans="1:9" ht="26.1" customHeight="1" x14ac:dyDescent="0.25">
      <c r="A123" s="20" t="s">
        <v>535</v>
      </c>
      <c r="B123" s="20" t="s">
        <v>536</v>
      </c>
      <c r="C123" s="20" t="s">
        <v>160</v>
      </c>
      <c r="D123" s="20" t="s">
        <v>537</v>
      </c>
      <c r="E123" s="20" t="s">
        <v>536</v>
      </c>
      <c r="F123" s="20" t="s">
        <v>143</v>
      </c>
      <c r="G123" s="20" t="s">
        <v>78</v>
      </c>
      <c r="H123" s="20" t="s">
        <v>23</v>
      </c>
      <c r="I123" s="20" t="s">
        <v>538</v>
      </c>
    </row>
    <row r="124" spans="1:9" ht="26.1" customHeight="1" x14ac:dyDescent="0.25">
      <c r="A124" s="20" t="s">
        <v>539</v>
      </c>
      <c r="B124" s="20" t="s">
        <v>540</v>
      </c>
      <c r="C124" s="20" t="s">
        <v>160</v>
      </c>
      <c r="D124" s="20" t="s">
        <v>541</v>
      </c>
      <c r="E124" s="20" t="s">
        <v>540</v>
      </c>
      <c r="F124" s="20" t="s">
        <v>143</v>
      </c>
      <c r="G124" s="20" t="s">
        <v>78</v>
      </c>
      <c r="H124" s="20" t="s">
        <v>23</v>
      </c>
      <c r="I124" s="20" t="s">
        <v>542</v>
      </c>
    </row>
    <row r="125" spans="1:9" ht="26.1" customHeight="1" x14ac:dyDescent="0.25">
      <c r="A125" s="20" t="s">
        <v>543</v>
      </c>
      <c r="B125" s="20" t="s">
        <v>544</v>
      </c>
      <c r="C125" s="20" t="s">
        <v>230</v>
      </c>
      <c r="D125" s="20" t="s">
        <v>545</v>
      </c>
      <c r="E125" s="20" t="s">
        <v>544</v>
      </c>
      <c r="F125" s="20" t="s">
        <v>224</v>
      </c>
      <c r="G125" s="20" t="s">
        <v>71</v>
      </c>
      <c r="H125" s="20" t="s">
        <v>23</v>
      </c>
      <c r="I125" s="20" t="s">
        <v>546</v>
      </c>
    </row>
    <row r="126" spans="1:9" ht="26.1" customHeight="1" x14ac:dyDescent="0.25">
      <c r="A126" s="20" t="s">
        <v>547</v>
      </c>
      <c r="B126" s="20" t="s">
        <v>548</v>
      </c>
      <c r="C126" s="20" t="s">
        <v>230</v>
      </c>
      <c r="D126" s="20" t="s">
        <v>549</v>
      </c>
      <c r="E126" s="20" t="s">
        <v>548</v>
      </c>
      <c r="F126" s="20" t="s">
        <v>151</v>
      </c>
      <c r="G126" s="20" t="s">
        <v>71</v>
      </c>
      <c r="H126" s="20" t="s">
        <v>23</v>
      </c>
      <c r="I126" s="20" t="s">
        <v>550</v>
      </c>
    </row>
    <row r="127" spans="1:9" ht="26.1" customHeight="1" x14ac:dyDescent="0.25">
      <c r="A127" s="20" t="s">
        <v>551</v>
      </c>
      <c r="B127" s="20" t="s">
        <v>552</v>
      </c>
      <c r="C127" s="20" t="s">
        <v>230</v>
      </c>
      <c r="D127" s="20" t="s">
        <v>553</v>
      </c>
      <c r="E127" s="20" t="s">
        <v>552</v>
      </c>
      <c r="F127" s="20" t="s">
        <v>224</v>
      </c>
      <c r="G127" s="20" t="s">
        <v>78</v>
      </c>
      <c r="H127" s="20" t="s">
        <v>23</v>
      </c>
      <c r="I127" s="20" t="s">
        <v>554</v>
      </c>
    </row>
    <row r="128" spans="1:9" ht="26.1" customHeight="1" x14ac:dyDescent="0.25">
      <c r="A128" s="20" t="s">
        <v>555</v>
      </c>
      <c r="B128" s="20" t="s">
        <v>556</v>
      </c>
      <c r="C128" s="20" t="s">
        <v>286</v>
      </c>
      <c r="D128" s="20" t="s">
        <v>557</v>
      </c>
      <c r="E128" s="20" t="s">
        <v>556</v>
      </c>
      <c r="F128" s="20" t="s">
        <v>128</v>
      </c>
      <c r="G128" s="20" t="s">
        <v>78</v>
      </c>
      <c r="H128" s="20" t="s">
        <v>23</v>
      </c>
      <c r="I128" s="20" t="s">
        <v>558</v>
      </c>
    </row>
    <row r="129" spans="1:9" ht="26.1" customHeight="1" x14ac:dyDescent="0.25">
      <c r="A129" s="20" t="s">
        <v>559</v>
      </c>
      <c r="B129" s="20" t="s">
        <v>560</v>
      </c>
      <c r="C129" s="20" t="s">
        <v>314</v>
      </c>
      <c r="D129" s="20" t="s">
        <v>561</v>
      </c>
      <c r="E129" s="20" t="s">
        <v>560</v>
      </c>
      <c r="F129" s="20" t="s">
        <v>239</v>
      </c>
      <c r="G129" s="20" t="s">
        <v>78</v>
      </c>
      <c r="H129" s="20" t="s">
        <v>23</v>
      </c>
      <c r="I129" s="20" t="s">
        <v>562</v>
      </c>
    </row>
    <row r="130" spans="1:9" ht="26.1" customHeight="1" x14ac:dyDescent="0.25">
      <c r="A130" s="20" t="s">
        <v>563</v>
      </c>
      <c r="B130" s="20" t="s">
        <v>564</v>
      </c>
      <c r="C130" s="20" t="s">
        <v>431</v>
      </c>
      <c r="D130" s="20" t="s">
        <v>565</v>
      </c>
      <c r="E130" s="20" t="s">
        <v>564</v>
      </c>
      <c r="F130" s="20" t="s">
        <v>239</v>
      </c>
      <c r="G130" s="20" t="s">
        <v>71</v>
      </c>
      <c r="H130" s="20" t="s">
        <v>23</v>
      </c>
      <c r="I130" s="20" t="s">
        <v>566</v>
      </c>
    </row>
    <row r="131" spans="1:9" ht="26.1" customHeight="1" x14ac:dyDescent="0.25">
      <c r="A131" s="20" t="s">
        <v>567</v>
      </c>
      <c r="B131" s="20" t="s">
        <v>568</v>
      </c>
      <c r="C131" s="20" t="s">
        <v>569</v>
      </c>
      <c r="D131" s="20" t="s">
        <v>570</v>
      </c>
      <c r="E131" s="20" t="s">
        <v>568</v>
      </c>
      <c r="F131" s="20" t="s">
        <v>83</v>
      </c>
      <c r="G131" s="20" t="s">
        <v>71</v>
      </c>
      <c r="H131" s="20" t="s">
        <v>23</v>
      </c>
      <c r="I131" s="20" t="s">
        <v>466</v>
      </c>
    </row>
    <row r="132" spans="1:9" ht="26.1" customHeight="1" x14ac:dyDescent="0.25">
      <c r="A132" s="20" t="s">
        <v>571</v>
      </c>
      <c r="B132" s="20" t="s">
        <v>572</v>
      </c>
      <c r="C132" s="20" t="s">
        <v>569</v>
      </c>
      <c r="D132" s="20" t="s">
        <v>573</v>
      </c>
      <c r="E132" s="20" t="s">
        <v>572</v>
      </c>
      <c r="F132" s="20" t="s">
        <v>83</v>
      </c>
      <c r="G132" s="20" t="s">
        <v>71</v>
      </c>
      <c r="H132" s="20" t="s">
        <v>23</v>
      </c>
      <c r="I132" s="20" t="s">
        <v>574</v>
      </c>
    </row>
    <row r="133" spans="1:9" ht="26.1" customHeight="1" x14ac:dyDescent="0.25">
      <c r="A133" s="20" t="s">
        <v>575</v>
      </c>
      <c r="B133" s="20" t="s">
        <v>576</v>
      </c>
      <c r="C133" s="20" t="s">
        <v>569</v>
      </c>
      <c r="D133" s="20" t="s">
        <v>577</v>
      </c>
      <c r="E133" s="20" t="s">
        <v>576</v>
      </c>
      <c r="F133" s="20" t="s">
        <v>578</v>
      </c>
      <c r="G133" s="20" t="s">
        <v>71</v>
      </c>
      <c r="H133" s="20" t="s">
        <v>23</v>
      </c>
      <c r="I133" s="20" t="s">
        <v>466</v>
      </c>
    </row>
    <row r="134" spans="1:9" ht="26.1" customHeight="1" x14ac:dyDescent="0.25">
      <c r="A134" s="20" t="s">
        <v>579</v>
      </c>
      <c r="B134" s="20" t="s">
        <v>580</v>
      </c>
      <c r="C134" s="20" t="s">
        <v>569</v>
      </c>
      <c r="D134" s="20" t="s">
        <v>581</v>
      </c>
      <c r="E134" s="20" t="s">
        <v>580</v>
      </c>
      <c r="F134" s="20" t="s">
        <v>83</v>
      </c>
      <c r="G134" s="20" t="s">
        <v>78</v>
      </c>
      <c r="H134" s="20" t="s">
        <v>23</v>
      </c>
      <c r="I134" s="20" t="s">
        <v>582</v>
      </c>
    </row>
  </sheetData>
  <mergeCells count="2">
    <mergeCell ref="A1:I1"/>
    <mergeCell ref="A2:I2"/>
  </mergeCells>
  <conditionalFormatting sqref="H4:H134">
    <cfRule type="expression" dxfId="87" priority="1">
      <formula>$H4="✅ Verificado"</formula>
    </cfRule>
    <cfRule type="expression" dxfId="86" priority="2">
      <formula>$H4="✅ Trazado"</formula>
    </cfRule>
    <cfRule type="expression" dxfId="85" priority="3">
      <formula>$H4="✅ Documentado"</formula>
    </cfRule>
    <cfRule type="expression" dxfId="84" priority="4">
      <formula>$H4="🧪 Planificado"</formula>
    </cfRule>
    <cfRule type="expression" dxfId="83" priority="5">
      <formula>$H4="⚠ Validar brecha v2.0"</formula>
    </cfRule>
    <cfRule type="expression" dxfId="82" priority="6">
      <formula>$H4="⏳ Pendiente"</formula>
    </cfRule>
    <cfRule type="expression" dxfId="81" priority="7">
      <formula>$H4="🔄 En Progreso"</formula>
    </cfRule>
    <cfRule type="expression" dxfId="80" priority="8">
      <formula>$H4="❌ No Cumplido"</formula>
    </cfRule>
  </conditionalFormatting>
  <dataValidations count="4">
    <dataValidation type="list" allowBlank="1" sqref="H4 H5 H6 H7 H8 H9 H10 H11 H12 H13 H14 H15 H16 H17 H18 H19 H20 H21 H22 H23 H24 H25 H26 H27 H28 H29 H30 H31" xr:uid="{00000000-0002-0000-0100-000000000000}">
      <formula1>"✅ Verificado,🔄 En Progreso,❌ No Cumplido,⏳ Pendiente,🚫 Cancelado"</formula1>
    </dataValidation>
    <dataValidation type="list" allowBlank="1" sqref="G4 G5 G6 G7 G8 G9 G10 G11 G12 G13 G14 G15 G16 G17 G18 G19 G20 G21 G22 G23 G24 G25 G26 G27 G28 G29 G30 G31" xr:uid="{00000000-0002-0000-0100-000001000000}">
      <formula1>"Alta,Media,Baja"</formula1>
    </dataValidation>
    <dataValidation type="list" sqref="G4:G134" xr:uid="{00000000-0002-0000-0100-000002000000}">
      <formula1>"Alta,Media,Baja"</formula1>
    </dataValidation>
    <dataValidation type="list" sqref="H4:H134" xr:uid="{00000000-0002-0000-0100-000003000000}">
      <formula1>"✅ Trazado,✅ Documentado,🧪 Planificado,⚠ Validar brecha v2.0,⏳ Pendiente"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86"/>
  <sheetViews>
    <sheetView showGridLines="0" topLeftCell="A8" workbookViewId="0">
      <selection sqref="A1:K1"/>
    </sheetView>
  </sheetViews>
  <sheetFormatPr baseColWidth="10" defaultColWidth="9.140625" defaultRowHeight="15" x14ac:dyDescent="0.25"/>
  <cols>
    <col min="1" max="1" width="22" customWidth="1"/>
    <col min="2" max="2" width="34" customWidth="1"/>
    <col min="3" max="3" width="13" customWidth="1"/>
    <col min="4" max="4" width="26" customWidth="1"/>
    <col min="5" max="5" width="28" customWidth="1"/>
    <col min="6" max="6" width="56" customWidth="1"/>
    <col min="7" max="8" width="12" customWidth="1"/>
    <col min="9" max="10" width="18" customWidth="1"/>
    <col min="11" max="11" width="32" customWidth="1"/>
  </cols>
  <sheetData>
    <row r="1" spans="1:11" ht="27.95" customHeight="1" x14ac:dyDescent="0.25">
      <c r="A1" s="65" t="s">
        <v>583</v>
      </c>
      <c r="B1" s="66"/>
      <c r="C1" s="66"/>
      <c r="D1" s="66"/>
      <c r="E1" s="66"/>
      <c r="F1" s="66"/>
      <c r="G1" s="66"/>
      <c r="H1" s="66"/>
      <c r="I1" s="66"/>
      <c r="J1" s="66"/>
      <c r="K1" s="66"/>
    </row>
    <row r="2" spans="1:11" ht="21.95" customHeight="1" x14ac:dyDescent="0.25">
      <c r="A2" s="55" t="s">
        <v>584</v>
      </c>
      <c r="B2" s="57"/>
      <c r="C2" s="57"/>
      <c r="D2" s="57"/>
      <c r="E2" s="57"/>
      <c r="F2" s="57"/>
      <c r="G2" s="57"/>
      <c r="H2" s="57"/>
      <c r="I2" s="57"/>
      <c r="J2" s="57"/>
      <c r="K2" s="57"/>
    </row>
    <row r="3" spans="1:11" ht="30" customHeight="1" x14ac:dyDescent="0.25">
      <c r="A3" s="12" t="s">
        <v>585</v>
      </c>
      <c r="B3" s="12" t="s">
        <v>586</v>
      </c>
      <c r="C3" s="12" t="s">
        <v>587</v>
      </c>
      <c r="D3" s="12" t="s">
        <v>588</v>
      </c>
      <c r="E3" s="12" t="s">
        <v>589</v>
      </c>
      <c r="F3" s="12" t="s">
        <v>590</v>
      </c>
      <c r="G3" s="12" t="s">
        <v>63</v>
      </c>
      <c r="H3" s="12" t="s">
        <v>591</v>
      </c>
      <c r="I3" s="12" t="s">
        <v>592</v>
      </c>
      <c r="J3" s="12" t="s">
        <v>593</v>
      </c>
      <c r="K3" s="12" t="s">
        <v>65</v>
      </c>
    </row>
    <row r="4" spans="1:11" ht="30" customHeight="1" x14ac:dyDescent="0.25">
      <c r="A4" s="13" t="s">
        <v>66</v>
      </c>
      <c r="B4" s="13" t="s">
        <v>67</v>
      </c>
      <c r="C4" s="13" t="s">
        <v>594</v>
      </c>
      <c r="D4" s="13" t="s">
        <v>595</v>
      </c>
      <c r="E4" s="13" t="s">
        <v>595</v>
      </c>
      <c r="F4" s="13" t="s">
        <v>596</v>
      </c>
      <c r="G4" s="14" t="s">
        <v>71</v>
      </c>
      <c r="H4" s="14" t="s">
        <v>71</v>
      </c>
      <c r="I4" s="15" t="s">
        <v>72</v>
      </c>
      <c r="J4" s="15" t="s">
        <v>25</v>
      </c>
      <c r="K4" s="13" t="s">
        <v>597</v>
      </c>
    </row>
    <row r="5" spans="1:11" ht="30" customHeight="1" x14ac:dyDescent="0.25">
      <c r="A5" s="16" t="s">
        <v>66</v>
      </c>
      <c r="B5" s="16" t="s">
        <v>67</v>
      </c>
      <c r="C5" s="16" t="s">
        <v>598</v>
      </c>
      <c r="D5" s="16" t="s">
        <v>599</v>
      </c>
      <c r="E5" s="16" t="s">
        <v>595</v>
      </c>
      <c r="F5" s="16" t="s">
        <v>600</v>
      </c>
      <c r="G5" s="17" t="s">
        <v>71</v>
      </c>
      <c r="H5" s="17" t="s">
        <v>71</v>
      </c>
      <c r="I5" s="15" t="s">
        <v>72</v>
      </c>
      <c r="J5" s="18" t="s">
        <v>25</v>
      </c>
      <c r="K5" s="16" t="s">
        <v>597</v>
      </c>
    </row>
    <row r="6" spans="1:11" ht="30" customHeight="1" x14ac:dyDescent="0.25">
      <c r="A6" s="13" t="s">
        <v>66</v>
      </c>
      <c r="B6" s="13" t="s">
        <v>67</v>
      </c>
      <c r="C6" s="13" t="s">
        <v>601</v>
      </c>
      <c r="D6" s="13" t="s">
        <v>602</v>
      </c>
      <c r="E6" s="13" t="s">
        <v>603</v>
      </c>
      <c r="F6" s="13" t="s">
        <v>604</v>
      </c>
      <c r="G6" s="14" t="s">
        <v>71</v>
      </c>
      <c r="H6" s="14" t="s">
        <v>71</v>
      </c>
      <c r="I6" s="18" t="s">
        <v>72</v>
      </c>
      <c r="J6" s="19" t="s">
        <v>25</v>
      </c>
      <c r="K6" s="13" t="s">
        <v>597</v>
      </c>
    </row>
    <row r="7" spans="1:11" ht="30" customHeight="1" x14ac:dyDescent="0.25">
      <c r="A7" s="16" t="s">
        <v>66</v>
      </c>
      <c r="B7" s="16" t="s">
        <v>67</v>
      </c>
      <c r="C7" s="16" t="s">
        <v>605</v>
      </c>
      <c r="D7" s="16" t="s">
        <v>606</v>
      </c>
      <c r="E7" s="16" t="s">
        <v>607</v>
      </c>
      <c r="F7" s="16" t="s">
        <v>608</v>
      </c>
      <c r="G7" s="17" t="s">
        <v>71</v>
      </c>
      <c r="H7" s="17" t="s">
        <v>78</v>
      </c>
      <c r="I7" s="19" t="s">
        <v>72</v>
      </c>
      <c r="J7" s="19" t="s">
        <v>25</v>
      </c>
      <c r="K7" s="16" t="s">
        <v>597</v>
      </c>
    </row>
    <row r="8" spans="1:11" ht="30" customHeight="1" x14ac:dyDescent="0.25">
      <c r="A8" s="13" t="s">
        <v>66</v>
      </c>
      <c r="B8" s="13" t="s">
        <v>67</v>
      </c>
      <c r="C8" s="13" t="s">
        <v>609</v>
      </c>
      <c r="D8" s="13" t="s">
        <v>610</v>
      </c>
      <c r="E8" s="13" t="s">
        <v>595</v>
      </c>
      <c r="F8" s="13" t="s">
        <v>611</v>
      </c>
      <c r="G8" s="14" t="s">
        <v>71</v>
      </c>
      <c r="H8" s="14" t="s">
        <v>71</v>
      </c>
      <c r="I8" s="18" t="s">
        <v>72</v>
      </c>
      <c r="J8" s="19" t="s">
        <v>25</v>
      </c>
      <c r="K8" s="13" t="s">
        <v>597</v>
      </c>
    </row>
    <row r="9" spans="1:11" ht="30" customHeight="1" x14ac:dyDescent="0.25">
      <c r="A9" s="16" t="s">
        <v>74</v>
      </c>
      <c r="B9" s="16" t="s">
        <v>75</v>
      </c>
      <c r="C9" s="16" t="s">
        <v>594</v>
      </c>
      <c r="D9" s="16" t="s">
        <v>595</v>
      </c>
      <c r="E9" s="16" t="s">
        <v>595</v>
      </c>
      <c r="F9" s="16" t="s">
        <v>612</v>
      </c>
      <c r="G9" s="17" t="s">
        <v>78</v>
      </c>
      <c r="H9" s="17" t="s">
        <v>71</v>
      </c>
      <c r="I9" s="19" t="s">
        <v>72</v>
      </c>
      <c r="J9" s="19" t="s">
        <v>25</v>
      </c>
      <c r="K9" s="16" t="s">
        <v>597</v>
      </c>
    </row>
    <row r="10" spans="1:11" ht="30" customHeight="1" x14ac:dyDescent="0.25">
      <c r="A10" s="13" t="s">
        <v>74</v>
      </c>
      <c r="B10" s="13" t="s">
        <v>75</v>
      </c>
      <c r="C10" s="13" t="s">
        <v>598</v>
      </c>
      <c r="D10" s="13" t="s">
        <v>599</v>
      </c>
      <c r="E10" s="13" t="s">
        <v>595</v>
      </c>
      <c r="F10" s="13" t="s">
        <v>613</v>
      </c>
      <c r="G10" s="13" t="s">
        <v>78</v>
      </c>
      <c r="H10" s="13" t="s">
        <v>71</v>
      </c>
      <c r="I10" s="13" t="s">
        <v>72</v>
      </c>
      <c r="J10" s="13" t="s">
        <v>25</v>
      </c>
      <c r="K10" s="13" t="s">
        <v>597</v>
      </c>
    </row>
    <row r="11" spans="1:11" ht="30" customHeight="1" x14ac:dyDescent="0.25">
      <c r="A11" s="16" t="s">
        <v>74</v>
      </c>
      <c r="B11" s="16" t="s">
        <v>75</v>
      </c>
      <c r="C11" s="16" t="s">
        <v>601</v>
      </c>
      <c r="D11" s="16" t="s">
        <v>602</v>
      </c>
      <c r="E11" s="16" t="s">
        <v>603</v>
      </c>
      <c r="F11" s="16" t="s">
        <v>614</v>
      </c>
      <c r="G11" s="16" t="s">
        <v>78</v>
      </c>
      <c r="H11" s="16" t="s">
        <v>71</v>
      </c>
      <c r="I11" s="16" t="s">
        <v>72</v>
      </c>
      <c r="J11" s="16" t="s">
        <v>25</v>
      </c>
      <c r="K11" s="16" t="s">
        <v>597</v>
      </c>
    </row>
    <row r="12" spans="1:11" ht="30" customHeight="1" x14ac:dyDescent="0.25">
      <c r="A12" s="13" t="s">
        <v>74</v>
      </c>
      <c r="B12" s="13" t="s">
        <v>75</v>
      </c>
      <c r="C12" s="13" t="s">
        <v>605</v>
      </c>
      <c r="D12" s="13" t="s">
        <v>606</v>
      </c>
      <c r="E12" s="13" t="s">
        <v>607</v>
      </c>
      <c r="F12" s="13" t="s">
        <v>615</v>
      </c>
      <c r="G12" s="13" t="s">
        <v>78</v>
      </c>
      <c r="H12" s="13" t="s">
        <v>78</v>
      </c>
      <c r="I12" s="13" t="s">
        <v>72</v>
      </c>
      <c r="J12" s="13" t="s">
        <v>25</v>
      </c>
      <c r="K12" s="13" t="s">
        <v>597</v>
      </c>
    </row>
    <row r="13" spans="1:11" ht="30" customHeight="1" x14ac:dyDescent="0.25">
      <c r="A13" s="16" t="s">
        <v>74</v>
      </c>
      <c r="B13" s="16" t="s">
        <v>75</v>
      </c>
      <c r="C13" s="16" t="s">
        <v>609</v>
      </c>
      <c r="D13" s="16" t="s">
        <v>610</v>
      </c>
      <c r="E13" s="16" t="s">
        <v>595</v>
      </c>
      <c r="F13" s="16" t="s">
        <v>616</v>
      </c>
      <c r="G13" s="16" t="s">
        <v>78</v>
      </c>
      <c r="H13" s="16" t="s">
        <v>71</v>
      </c>
      <c r="I13" s="16" t="s">
        <v>72</v>
      </c>
      <c r="J13" s="16" t="s">
        <v>25</v>
      </c>
      <c r="K13" s="16" t="s">
        <v>597</v>
      </c>
    </row>
    <row r="14" spans="1:11" ht="30" customHeight="1" x14ac:dyDescent="0.25">
      <c r="A14" s="13" t="s">
        <v>80</v>
      </c>
      <c r="B14" s="13" t="s">
        <v>81</v>
      </c>
      <c r="C14" s="13" t="s">
        <v>594</v>
      </c>
      <c r="D14" s="13" t="s">
        <v>595</v>
      </c>
      <c r="E14" s="13" t="s">
        <v>595</v>
      </c>
      <c r="F14" s="13" t="s">
        <v>617</v>
      </c>
      <c r="G14" s="13" t="s">
        <v>71</v>
      </c>
      <c r="H14" s="13" t="s">
        <v>71</v>
      </c>
      <c r="I14" s="13" t="s">
        <v>72</v>
      </c>
      <c r="J14" s="13" t="s">
        <v>25</v>
      </c>
      <c r="K14" s="13" t="s">
        <v>597</v>
      </c>
    </row>
    <row r="15" spans="1:11" ht="30" customHeight="1" x14ac:dyDescent="0.25">
      <c r="A15" s="16" t="s">
        <v>80</v>
      </c>
      <c r="B15" s="16" t="s">
        <v>81</v>
      </c>
      <c r="C15" s="16" t="s">
        <v>598</v>
      </c>
      <c r="D15" s="16" t="s">
        <v>599</v>
      </c>
      <c r="E15" s="16" t="s">
        <v>595</v>
      </c>
      <c r="F15" s="16" t="s">
        <v>618</v>
      </c>
      <c r="G15" s="16" t="s">
        <v>71</v>
      </c>
      <c r="H15" s="16" t="s">
        <v>71</v>
      </c>
      <c r="I15" s="16" t="s">
        <v>72</v>
      </c>
      <c r="J15" s="16" t="s">
        <v>25</v>
      </c>
      <c r="K15" s="16" t="s">
        <v>597</v>
      </c>
    </row>
    <row r="16" spans="1:11" ht="30" customHeight="1" x14ac:dyDescent="0.25">
      <c r="A16" s="13" t="s">
        <v>80</v>
      </c>
      <c r="B16" s="13" t="s">
        <v>81</v>
      </c>
      <c r="C16" s="13" t="s">
        <v>601</v>
      </c>
      <c r="D16" s="13" t="s">
        <v>602</v>
      </c>
      <c r="E16" s="13" t="s">
        <v>603</v>
      </c>
      <c r="F16" s="13" t="s">
        <v>619</v>
      </c>
      <c r="G16" s="13" t="s">
        <v>71</v>
      </c>
      <c r="H16" s="13" t="s">
        <v>71</v>
      </c>
      <c r="I16" s="13" t="s">
        <v>72</v>
      </c>
      <c r="J16" s="13" t="s">
        <v>25</v>
      </c>
      <c r="K16" s="13" t="s">
        <v>597</v>
      </c>
    </row>
    <row r="17" spans="1:11" ht="30" customHeight="1" x14ac:dyDescent="0.25">
      <c r="A17" s="16" t="s">
        <v>80</v>
      </c>
      <c r="B17" s="16" t="s">
        <v>81</v>
      </c>
      <c r="C17" s="16" t="s">
        <v>605</v>
      </c>
      <c r="D17" s="16" t="s">
        <v>606</v>
      </c>
      <c r="E17" s="16" t="s">
        <v>607</v>
      </c>
      <c r="F17" s="16" t="s">
        <v>620</v>
      </c>
      <c r="G17" s="16" t="s">
        <v>71</v>
      </c>
      <c r="H17" s="16" t="s">
        <v>78</v>
      </c>
      <c r="I17" s="16" t="s">
        <v>72</v>
      </c>
      <c r="J17" s="16" t="s">
        <v>25</v>
      </c>
      <c r="K17" s="16" t="s">
        <v>597</v>
      </c>
    </row>
    <row r="18" spans="1:11" ht="30" customHeight="1" x14ac:dyDescent="0.25">
      <c r="A18" s="13" t="s">
        <v>80</v>
      </c>
      <c r="B18" s="13" t="s">
        <v>81</v>
      </c>
      <c r="C18" s="13" t="s">
        <v>609</v>
      </c>
      <c r="D18" s="13" t="s">
        <v>610</v>
      </c>
      <c r="E18" s="13" t="s">
        <v>595</v>
      </c>
      <c r="F18" s="13" t="s">
        <v>621</v>
      </c>
      <c r="G18" s="13" t="s">
        <v>71</v>
      </c>
      <c r="H18" s="13" t="s">
        <v>71</v>
      </c>
      <c r="I18" s="13" t="s">
        <v>72</v>
      </c>
      <c r="J18" s="13" t="s">
        <v>25</v>
      </c>
      <c r="K18" s="13" t="s">
        <v>597</v>
      </c>
    </row>
    <row r="19" spans="1:11" ht="30" customHeight="1" x14ac:dyDescent="0.25">
      <c r="A19" s="16" t="s">
        <v>84</v>
      </c>
      <c r="B19" s="16" t="s">
        <v>85</v>
      </c>
      <c r="C19" s="16" t="s">
        <v>594</v>
      </c>
      <c r="D19" s="16" t="s">
        <v>595</v>
      </c>
      <c r="E19" s="16" t="s">
        <v>595</v>
      </c>
      <c r="F19" s="16" t="s">
        <v>622</v>
      </c>
      <c r="G19" s="16" t="s">
        <v>78</v>
      </c>
      <c r="H19" s="16" t="s">
        <v>71</v>
      </c>
      <c r="I19" s="16" t="s">
        <v>72</v>
      </c>
      <c r="J19" s="16" t="s">
        <v>25</v>
      </c>
      <c r="K19" s="16" t="s">
        <v>597</v>
      </c>
    </row>
    <row r="20" spans="1:11" ht="30" customHeight="1" x14ac:dyDescent="0.25">
      <c r="A20" s="13" t="s">
        <v>84</v>
      </c>
      <c r="B20" s="13" t="s">
        <v>85</v>
      </c>
      <c r="C20" s="13" t="s">
        <v>598</v>
      </c>
      <c r="D20" s="13" t="s">
        <v>599</v>
      </c>
      <c r="E20" s="13" t="s">
        <v>595</v>
      </c>
      <c r="F20" s="13" t="s">
        <v>623</v>
      </c>
      <c r="G20" s="13" t="s">
        <v>78</v>
      </c>
      <c r="H20" s="13" t="s">
        <v>71</v>
      </c>
      <c r="I20" s="13" t="s">
        <v>72</v>
      </c>
      <c r="J20" s="13" t="s">
        <v>25</v>
      </c>
      <c r="K20" s="13" t="s">
        <v>597</v>
      </c>
    </row>
    <row r="21" spans="1:11" ht="30" customHeight="1" x14ac:dyDescent="0.25">
      <c r="A21" s="16" t="s">
        <v>84</v>
      </c>
      <c r="B21" s="16" t="s">
        <v>85</v>
      </c>
      <c r="C21" s="16" t="s">
        <v>601</v>
      </c>
      <c r="D21" s="16" t="s">
        <v>602</v>
      </c>
      <c r="E21" s="16" t="s">
        <v>603</v>
      </c>
      <c r="F21" s="16" t="s">
        <v>624</v>
      </c>
      <c r="G21" s="16" t="s">
        <v>78</v>
      </c>
      <c r="H21" s="16" t="s">
        <v>71</v>
      </c>
      <c r="I21" s="16" t="s">
        <v>72</v>
      </c>
      <c r="J21" s="16" t="s">
        <v>25</v>
      </c>
      <c r="K21" s="16" t="s">
        <v>597</v>
      </c>
    </row>
    <row r="22" spans="1:11" ht="30" customHeight="1" x14ac:dyDescent="0.25">
      <c r="A22" s="13" t="s">
        <v>84</v>
      </c>
      <c r="B22" s="13" t="s">
        <v>85</v>
      </c>
      <c r="C22" s="13" t="s">
        <v>605</v>
      </c>
      <c r="D22" s="13" t="s">
        <v>606</v>
      </c>
      <c r="E22" s="13" t="s">
        <v>607</v>
      </c>
      <c r="F22" s="13" t="s">
        <v>625</v>
      </c>
      <c r="G22" s="13" t="s">
        <v>78</v>
      </c>
      <c r="H22" s="13" t="s">
        <v>78</v>
      </c>
      <c r="I22" s="13" t="s">
        <v>72</v>
      </c>
      <c r="J22" s="13" t="s">
        <v>25</v>
      </c>
      <c r="K22" s="13" t="s">
        <v>597</v>
      </c>
    </row>
    <row r="23" spans="1:11" ht="30" customHeight="1" x14ac:dyDescent="0.25">
      <c r="A23" s="16" t="s">
        <v>84</v>
      </c>
      <c r="B23" s="16" t="s">
        <v>85</v>
      </c>
      <c r="C23" s="16" t="s">
        <v>609</v>
      </c>
      <c r="D23" s="16" t="s">
        <v>610</v>
      </c>
      <c r="E23" s="16" t="s">
        <v>595</v>
      </c>
      <c r="F23" s="16" t="s">
        <v>626</v>
      </c>
      <c r="G23" s="16" t="s">
        <v>78</v>
      </c>
      <c r="H23" s="16" t="s">
        <v>71</v>
      </c>
      <c r="I23" s="16" t="s">
        <v>72</v>
      </c>
      <c r="J23" s="16" t="s">
        <v>25</v>
      </c>
      <c r="K23" s="16" t="s">
        <v>597</v>
      </c>
    </row>
    <row r="24" spans="1:11" ht="30" customHeight="1" x14ac:dyDescent="0.25">
      <c r="A24" s="13" t="s">
        <v>88</v>
      </c>
      <c r="B24" s="13" t="s">
        <v>89</v>
      </c>
      <c r="C24" s="13" t="s">
        <v>594</v>
      </c>
      <c r="D24" s="13" t="s">
        <v>595</v>
      </c>
      <c r="E24" s="13" t="s">
        <v>595</v>
      </c>
      <c r="F24" s="13" t="s">
        <v>627</v>
      </c>
      <c r="G24" s="13" t="s">
        <v>78</v>
      </c>
      <c r="H24" s="13" t="s">
        <v>71</v>
      </c>
      <c r="I24" s="13" t="s">
        <v>72</v>
      </c>
      <c r="J24" s="13" t="s">
        <v>25</v>
      </c>
      <c r="K24" s="13" t="s">
        <v>597</v>
      </c>
    </row>
    <row r="25" spans="1:11" ht="30" customHeight="1" x14ac:dyDescent="0.25">
      <c r="A25" s="16" t="s">
        <v>88</v>
      </c>
      <c r="B25" s="16" t="s">
        <v>89</v>
      </c>
      <c r="C25" s="16" t="s">
        <v>598</v>
      </c>
      <c r="D25" s="16" t="s">
        <v>599</v>
      </c>
      <c r="E25" s="16" t="s">
        <v>595</v>
      </c>
      <c r="F25" s="16" t="s">
        <v>628</v>
      </c>
      <c r="G25" s="16" t="s">
        <v>78</v>
      </c>
      <c r="H25" s="16" t="s">
        <v>71</v>
      </c>
      <c r="I25" s="16" t="s">
        <v>72</v>
      </c>
      <c r="J25" s="16" t="s">
        <v>25</v>
      </c>
      <c r="K25" s="16" t="s">
        <v>597</v>
      </c>
    </row>
    <row r="26" spans="1:11" ht="30" customHeight="1" x14ac:dyDescent="0.25">
      <c r="A26" s="13" t="s">
        <v>88</v>
      </c>
      <c r="B26" s="13" t="s">
        <v>89</v>
      </c>
      <c r="C26" s="13" t="s">
        <v>601</v>
      </c>
      <c r="D26" s="13" t="s">
        <v>602</v>
      </c>
      <c r="E26" s="13" t="s">
        <v>603</v>
      </c>
      <c r="F26" s="13" t="s">
        <v>629</v>
      </c>
      <c r="G26" s="13" t="s">
        <v>78</v>
      </c>
      <c r="H26" s="13" t="s">
        <v>71</v>
      </c>
      <c r="I26" s="13" t="s">
        <v>72</v>
      </c>
      <c r="J26" s="13" t="s">
        <v>25</v>
      </c>
      <c r="K26" s="13" t="s">
        <v>597</v>
      </c>
    </row>
    <row r="27" spans="1:11" ht="30" customHeight="1" x14ac:dyDescent="0.25">
      <c r="A27" s="16" t="s">
        <v>88</v>
      </c>
      <c r="B27" s="16" t="s">
        <v>89</v>
      </c>
      <c r="C27" s="16" t="s">
        <v>605</v>
      </c>
      <c r="D27" s="16" t="s">
        <v>606</v>
      </c>
      <c r="E27" s="16" t="s">
        <v>607</v>
      </c>
      <c r="F27" s="16" t="s">
        <v>630</v>
      </c>
      <c r="G27" s="16" t="s">
        <v>78</v>
      </c>
      <c r="H27" s="16" t="s">
        <v>78</v>
      </c>
      <c r="I27" s="16" t="s">
        <v>72</v>
      </c>
      <c r="J27" s="16" t="s">
        <v>25</v>
      </c>
      <c r="K27" s="16" t="s">
        <v>597</v>
      </c>
    </row>
    <row r="28" spans="1:11" ht="30" customHeight="1" x14ac:dyDescent="0.25">
      <c r="A28" s="13" t="s">
        <v>88</v>
      </c>
      <c r="B28" s="13" t="s">
        <v>89</v>
      </c>
      <c r="C28" s="13" t="s">
        <v>609</v>
      </c>
      <c r="D28" s="13" t="s">
        <v>610</v>
      </c>
      <c r="E28" s="13" t="s">
        <v>595</v>
      </c>
      <c r="F28" s="13" t="s">
        <v>631</v>
      </c>
      <c r="G28" s="13" t="s">
        <v>78</v>
      </c>
      <c r="H28" s="13" t="s">
        <v>71</v>
      </c>
      <c r="I28" s="13" t="s">
        <v>72</v>
      </c>
      <c r="J28" s="13" t="s">
        <v>25</v>
      </c>
      <c r="K28" s="13" t="s">
        <v>597</v>
      </c>
    </row>
    <row r="29" spans="1:11" ht="30" customHeight="1" x14ac:dyDescent="0.25">
      <c r="A29" s="16" t="s">
        <v>91</v>
      </c>
      <c r="B29" s="16" t="s">
        <v>92</v>
      </c>
      <c r="C29" s="16" t="s">
        <v>594</v>
      </c>
      <c r="D29" s="16" t="s">
        <v>595</v>
      </c>
      <c r="E29" s="16" t="s">
        <v>595</v>
      </c>
      <c r="F29" s="16" t="s">
        <v>632</v>
      </c>
      <c r="G29" s="16" t="s">
        <v>94</v>
      </c>
      <c r="H29" s="16" t="s">
        <v>71</v>
      </c>
      <c r="I29" s="16" t="s">
        <v>72</v>
      </c>
      <c r="J29" s="16" t="s">
        <v>25</v>
      </c>
      <c r="K29" s="16" t="s">
        <v>597</v>
      </c>
    </row>
    <row r="30" spans="1:11" ht="30" customHeight="1" x14ac:dyDescent="0.25">
      <c r="A30" s="20" t="s">
        <v>91</v>
      </c>
      <c r="B30" s="20" t="s">
        <v>92</v>
      </c>
      <c r="C30" s="20" t="s">
        <v>598</v>
      </c>
      <c r="D30" s="20" t="s">
        <v>599</v>
      </c>
      <c r="E30" s="20" t="s">
        <v>595</v>
      </c>
      <c r="F30" s="20" t="s">
        <v>633</v>
      </c>
      <c r="G30" s="20" t="s">
        <v>94</v>
      </c>
      <c r="H30" s="20" t="s">
        <v>71</v>
      </c>
      <c r="I30" s="20" t="s">
        <v>72</v>
      </c>
      <c r="J30" s="20" t="s">
        <v>25</v>
      </c>
      <c r="K30" s="20" t="s">
        <v>597</v>
      </c>
    </row>
    <row r="31" spans="1:11" ht="30" customHeight="1" x14ac:dyDescent="0.25">
      <c r="A31" s="20" t="s">
        <v>91</v>
      </c>
      <c r="B31" s="20" t="s">
        <v>92</v>
      </c>
      <c r="C31" s="20" t="s">
        <v>601</v>
      </c>
      <c r="D31" s="20" t="s">
        <v>602</v>
      </c>
      <c r="E31" s="20" t="s">
        <v>603</v>
      </c>
      <c r="F31" s="20" t="s">
        <v>634</v>
      </c>
      <c r="G31" s="20" t="s">
        <v>94</v>
      </c>
      <c r="H31" s="20" t="s">
        <v>71</v>
      </c>
      <c r="I31" s="20" t="s">
        <v>72</v>
      </c>
      <c r="J31" s="20" t="s">
        <v>25</v>
      </c>
      <c r="K31" s="20" t="s">
        <v>597</v>
      </c>
    </row>
    <row r="32" spans="1:11" ht="30" customHeight="1" x14ac:dyDescent="0.25">
      <c r="A32" s="20" t="s">
        <v>91</v>
      </c>
      <c r="B32" s="20" t="s">
        <v>92</v>
      </c>
      <c r="C32" s="20" t="s">
        <v>605</v>
      </c>
      <c r="D32" s="20" t="s">
        <v>606</v>
      </c>
      <c r="E32" s="20" t="s">
        <v>607</v>
      </c>
      <c r="F32" s="20" t="s">
        <v>635</v>
      </c>
      <c r="G32" s="20" t="s">
        <v>94</v>
      </c>
      <c r="H32" s="20" t="s">
        <v>78</v>
      </c>
      <c r="I32" s="20" t="s">
        <v>72</v>
      </c>
      <c r="J32" s="20" t="s">
        <v>25</v>
      </c>
      <c r="K32" s="20" t="s">
        <v>597</v>
      </c>
    </row>
    <row r="33" spans="1:11" ht="30" customHeight="1" x14ac:dyDescent="0.25">
      <c r="A33" s="20" t="s">
        <v>91</v>
      </c>
      <c r="B33" s="20" t="s">
        <v>92</v>
      </c>
      <c r="C33" s="20" t="s">
        <v>609</v>
      </c>
      <c r="D33" s="20" t="s">
        <v>610</v>
      </c>
      <c r="E33" s="20" t="s">
        <v>595</v>
      </c>
      <c r="F33" s="20" t="s">
        <v>636</v>
      </c>
      <c r="G33" s="20" t="s">
        <v>94</v>
      </c>
      <c r="H33" s="20" t="s">
        <v>71</v>
      </c>
      <c r="I33" s="20" t="s">
        <v>72</v>
      </c>
      <c r="J33" s="20" t="s">
        <v>25</v>
      </c>
      <c r="K33" s="20" t="s">
        <v>597</v>
      </c>
    </row>
    <row r="34" spans="1:11" ht="30" customHeight="1" x14ac:dyDescent="0.25">
      <c r="A34" s="20" t="s">
        <v>95</v>
      </c>
      <c r="B34" s="20" t="s">
        <v>96</v>
      </c>
      <c r="C34" s="20" t="s">
        <v>594</v>
      </c>
      <c r="D34" s="20" t="s">
        <v>595</v>
      </c>
      <c r="E34" s="20" t="s">
        <v>595</v>
      </c>
      <c r="F34" s="20" t="s">
        <v>637</v>
      </c>
      <c r="G34" s="20" t="s">
        <v>94</v>
      </c>
      <c r="H34" s="20" t="s">
        <v>71</v>
      </c>
      <c r="I34" s="20" t="s">
        <v>72</v>
      </c>
      <c r="J34" s="20" t="s">
        <v>25</v>
      </c>
      <c r="K34" s="20" t="s">
        <v>597</v>
      </c>
    </row>
    <row r="35" spans="1:11" ht="30" customHeight="1" x14ac:dyDescent="0.25">
      <c r="A35" s="20" t="s">
        <v>95</v>
      </c>
      <c r="B35" s="20" t="s">
        <v>96</v>
      </c>
      <c r="C35" s="20" t="s">
        <v>598</v>
      </c>
      <c r="D35" s="20" t="s">
        <v>599</v>
      </c>
      <c r="E35" s="20" t="s">
        <v>595</v>
      </c>
      <c r="F35" s="20" t="s">
        <v>638</v>
      </c>
      <c r="G35" s="20" t="s">
        <v>94</v>
      </c>
      <c r="H35" s="20" t="s">
        <v>71</v>
      </c>
      <c r="I35" s="20" t="s">
        <v>72</v>
      </c>
      <c r="J35" s="20" t="s">
        <v>25</v>
      </c>
      <c r="K35" s="20" t="s">
        <v>597</v>
      </c>
    </row>
    <row r="36" spans="1:11" ht="30" customHeight="1" x14ac:dyDescent="0.25">
      <c r="A36" s="20" t="s">
        <v>95</v>
      </c>
      <c r="B36" s="20" t="s">
        <v>96</v>
      </c>
      <c r="C36" s="20" t="s">
        <v>601</v>
      </c>
      <c r="D36" s="20" t="s">
        <v>602</v>
      </c>
      <c r="E36" s="20" t="s">
        <v>603</v>
      </c>
      <c r="F36" s="20" t="s">
        <v>639</v>
      </c>
      <c r="G36" s="20" t="s">
        <v>94</v>
      </c>
      <c r="H36" s="20" t="s">
        <v>71</v>
      </c>
      <c r="I36" s="20" t="s">
        <v>72</v>
      </c>
      <c r="J36" s="20" t="s">
        <v>25</v>
      </c>
      <c r="K36" s="20" t="s">
        <v>597</v>
      </c>
    </row>
    <row r="37" spans="1:11" ht="30" customHeight="1" x14ac:dyDescent="0.25">
      <c r="A37" s="20" t="s">
        <v>95</v>
      </c>
      <c r="B37" s="20" t="s">
        <v>96</v>
      </c>
      <c r="C37" s="20" t="s">
        <v>605</v>
      </c>
      <c r="D37" s="20" t="s">
        <v>606</v>
      </c>
      <c r="E37" s="20" t="s">
        <v>607</v>
      </c>
      <c r="F37" s="20" t="s">
        <v>640</v>
      </c>
      <c r="G37" s="20" t="s">
        <v>94</v>
      </c>
      <c r="H37" s="20" t="s">
        <v>78</v>
      </c>
      <c r="I37" s="20" t="s">
        <v>72</v>
      </c>
      <c r="J37" s="20" t="s">
        <v>25</v>
      </c>
      <c r="K37" s="20" t="s">
        <v>597</v>
      </c>
    </row>
    <row r="38" spans="1:11" ht="30" customHeight="1" x14ac:dyDescent="0.25">
      <c r="A38" s="20" t="s">
        <v>95</v>
      </c>
      <c r="B38" s="20" t="s">
        <v>96</v>
      </c>
      <c r="C38" s="20" t="s">
        <v>609</v>
      </c>
      <c r="D38" s="20" t="s">
        <v>610</v>
      </c>
      <c r="E38" s="20" t="s">
        <v>595</v>
      </c>
      <c r="F38" s="20" t="s">
        <v>641</v>
      </c>
      <c r="G38" s="20" t="s">
        <v>94</v>
      </c>
      <c r="H38" s="20" t="s">
        <v>71</v>
      </c>
      <c r="I38" s="20" t="s">
        <v>72</v>
      </c>
      <c r="J38" s="20" t="s">
        <v>25</v>
      </c>
      <c r="K38" s="20" t="s">
        <v>597</v>
      </c>
    </row>
    <row r="39" spans="1:11" ht="30" customHeight="1" x14ac:dyDescent="0.25">
      <c r="A39" s="20" t="s">
        <v>98</v>
      </c>
      <c r="B39" s="20" t="s">
        <v>99</v>
      </c>
      <c r="C39" s="20" t="s">
        <v>594</v>
      </c>
      <c r="D39" s="20" t="s">
        <v>595</v>
      </c>
      <c r="E39" s="20" t="s">
        <v>595</v>
      </c>
      <c r="F39" s="20" t="s">
        <v>642</v>
      </c>
      <c r="G39" s="20" t="s">
        <v>78</v>
      </c>
      <c r="H39" s="20" t="s">
        <v>71</v>
      </c>
      <c r="I39" s="20" t="s">
        <v>72</v>
      </c>
      <c r="J39" s="20" t="s">
        <v>25</v>
      </c>
      <c r="K39" s="20" t="s">
        <v>597</v>
      </c>
    </row>
    <row r="40" spans="1:11" ht="30" customHeight="1" x14ac:dyDescent="0.25">
      <c r="A40" s="20" t="s">
        <v>98</v>
      </c>
      <c r="B40" s="20" t="s">
        <v>99</v>
      </c>
      <c r="C40" s="20" t="s">
        <v>598</v>
      </c>
      <c r="D40" s="20" t="s">
        <v>599</v>
      </c>
      <c r="E40" s="20" t="s">
        <v>595</v>
      </c>
      <c r="F40" s="20" t="s">
        <v>643</v>
      </c>
      <c r="G40" s="20" t="s">
        <v>78</v>
      </c>
      <c r="H40" s="20" t="s">
        <v>71</v>
      </c>
      <c r="I40" s="20" t="s">
        <v>72</v>
      </c>
      <c r="J40" s="20" t="s">
        <v>25</v>
      </c>
      <c r="K40" s="20" t="s">
        <v>597</v>
      </c>
    </row>
    <row r="41" spans="1:11" ht="30" customHeight="1" x14ac:dyDescent="0.25">
      <c r="A41" s="20" t="s">
        <v>98</v>
      </c>
      <c r="B41" s="20" t="s">
        <v>99</v>
      </c>
      <c r="C41" s="20" t="s">
        <v>601</v>
      </c>
      <c r="D41" s="20" t="s">
        <v>602</v>
      </c>
      <c r="E41" s="20" t="s">
        <v>603</v>
      </c>
      <c r="F41" s="20" t="s">
        <v>644</v>
      </c>
      <c r="G41" s="20" t="s">
        <v>78</v>
      </c>
      <c r="H41" s="20" t="s">
        <v>71</v>
      </c>
      <c r="I41" s="20" t="s">
        <v>72</v>
      </c>
      <c r="J41" s="20" t="s">
        <v>25</v>
      </c>
      <c r="K41" s="20" t="s">
        <v>597</v>
      </c>
    </row>
    <row r="42" spans="1:11" ht="30" customHeight="1" x14ac:dyDescent="0.25">
      <c r="A42" s="20" t="s">
        <v>98</v>
      </c>
      <c r="B42" s="20" t="s">
        <v>99</v>
      </c>
      <c r="C42" s="20" t="s">
        <v>605</v>
      </c>
      <c r="D42" s="20" t="s">
        <v>606</v>
      </c>
      <c r="E42" s="20" t="s">
        <v>607</v>
      </c>
      <c r="F42" s="20" t="s">
        <v>645</v>
      </c>
      <c r="G42" s="20" t="s">
        <v>78</v>
      </c>
      <c r="H42" s="20" t="s">
        <v>78</v>
      </c>
      <c r="I42" s="20" t="s">
        <v>72</v>
      </c>
      <c r="J42" s="20" t="s">
        <v>25</v>
      </c>
      <c r="K42" s="20" t="s">
        <v>597</v>
      </c>
    </row>
    <row r="43" spans="1:11" ht="30" customHeight="1" x14ac:dyDescent="0.25">
      <c r="A43" s="20" t="s">
        <v>98</v>
      </c>
      <c r="B43" s="20" t="s">
        <v>99</v>
      </c>
      <c r="C43" s="20" t="s">
        <v>609</v>
      </c>
      <c r="D43" s="20" t="s">
        <v>610</v>
      </c>
      <c r="E43" s="20" t="s">
        <v>595</v>
      </c>
      <c r="F43" s="20" t="s">
        <v>646</v>
      </c>
      <c r="G43" s="20" t="s">
        <v>78</v>
      </c>
      <c r="H43" s="20" t="s">
        <v>71</v>
      </c>
      <c r="I43" s="20" t="s">
        <v>72</v>
      </c>
      <c r="J43" s="20" t="s">
        <v>25</v>
      </c>
      <c r="K43" s="20" t="s">
        <v>597</v>
      </c>
    </row>
    <row r="44" spans="1:11" ht="30" customHeight="1" x14ac:dyDescent="0.25">
      <c r="A44" s="20" t="s">
        <v>101</v>
      </c>
      <c r="B44" s="20" t="s">
        <v>102</v>
      </c>
      <c r="C44" s="20" t="s">
        <v>594</v>
      </c>
      <c r="D44" s="20" t="s">
        <v>595</v>
      </c>
      <c r="E44" s="20" t="s">
        <v>595</v>
      </c>
      <c r="F44" s="20" t="s">
        <v>647</v>
      </c>
      <c r="G44" s="20" t="s">
        <v>71</v>
      </c>
      <c r="H44" s="20" t="s">
        <v>71</v>
      </c>
      <c r="I44" s="20" t="s">
        <v>72</v>
      </c>
      <c r="J44" s="20" t="s">
        <v>25</v>
      </c>
      <c r="K44" s="20" t="s">
        <v>597</v>
      </c>
    </row>
    <row r="45" spans="1:11" ht="30" customHeight="1" x14ac:dyDescent="0.25">
      <c r="A45" s="20" t="s">
        <v>101</v>
      </c>
      <c r="B45" s="20" t="s">
        <v>102</v>
      </c>
      <c r="C45" s="20" t="s">
        <v>598</v>
      </c>
      <c r="D45" s="20" t="s">
        <v>599</v>
      </c>
      <c r="E45" s="20" t="s">
        <v>595</v>
      </c>
      <c r="F45" s="20" t="s">
        <v>648</v>
      </c>
      <c r="G45" s="20" t="s">
        <v>71</v>
      </c>
      <c r="H45" s="20" t="s">
        <v>71</v>
      </c>
      <c r="I45" s="20" t="s">
        <v>72</v>
      </c>
      <c r="J45" s="20" t="s">
        <v>25</v>
      </c>
      <c r="K45" s="20" t="s">
        <v>597</v>
      </c>
    </row>
    <row r="46" spans="1:11" ht="30" customHeight="1" x14ac:dyDescent="0.25">
      <c r="A46" s="20" t="s">
        <v>101</v>
      </c>
      <c r="B46" s="20" t="s">
        <v>102</v>
      </c>
      <c r="C46" s="20" t="s">
        <v>601</v>
      </c>
      <c r="D46" s="20" t="s">
        <v>602</v>
      </c>
      <c r="E46" s="20" t="s">
        <v>603</v>
      </c>
      <c r="F46" s="20" t="s">
        <v>649</v>
      </c>
      <c r="G46" s="20" t="s">
        <v>71</v>
      </c>
      <c r="H46" s="20" t="s">
        <v>71</v>
      </c>
      <c r="I46" s="20" t="s">
        <v>72</v>
      </c>
      <c r="J46" s="20" t="s">
        <v>25</v>
      </c>
      <c r="K46" s="20" t="s">
        <v>597</v>
      </c>
    </row>
    <row r="47" spans="1:11" ht="30" customHeight="1" x14ac:dyDescent="0.25">
      <c r="A47" s="20" t="s">
        <v>101</v>
      </c>
      <c r="B47" s="20" t="s">
        <v>102</v>
      </c>
      <c r="C47" s="20" t="s">
        <v>605</v>
      </c>
      <c r="D47" s="20" t="s">
        <v>606</v>
      </c>
      <c r="E47" s="20" t="s">
        <v>607</v>
      </c>
      <c r="F47" s="20" t="s">
        <v>650</v>
      </c>
      <c r="G47" s="20" t="s">
        <v>71</v>
      </c>
      <c r="H47" s="20" t="s">
        <v>78</v>
      </c>
      <c r="I47" s="20" t="s">
        <v>72</v>
      </c>
      <c r="J47" s="20" t="s">
        <v>25</v>
      </c>
      <c r="K47" s="20" t="s">
        <v>597</v>
      </c>
    </row>
    <row r="48" spans="1:11" ht="30" customHeight="1" x14ac:dyDescent="0.25">
      <c r="A48" s="20" t="s">
        <v>101</v>
      </c>
      <c r="B48" s="20" t="s">
        <v>102</v>
      </c>
      <c r="C48" s="20" t="s">
        <v>609</v>
      </c>
      <c r="D48" s="20" t="s">
        <v>610</v>
      </c>
      <c r="E48" s="20" t="s">
        <v>595</v>
      </c>
      <c r="F48" s="20" t="s">
        <v>651</v>
      </c>
      <c r="G48" s="20" t="s">
        <v>71</v>
      </c>
      <c r="H48" s="20" t="s">
        <v>71</v>
      </c>
      <c r="I48" s="20" t="s">
        <v>72</v>
      </c>
      <c r="J48" s="20" t="s">
        <v>25</v>
      </c>
      <c r="K48" s="20" t="s">
        <v>597</v>
      </c>
    </row>
    <row r="49" spans="1:11" ht="30" customHeight="1" x14ac:dyDescent="0.25">
      <c r="A49" s="20" t="s">
        <v>105</v>
      </c>
      <c r="B49" s="20" t="s">
        <v>106</v>
      </c>
      <c r="C49" s="20" t="s">
        <v>594</v>
      </c>
      <c r="D49" s="20" t="s">
        <v>595</v>
      </c>
      <c r="E49" s="20" t="s">
        <v>595</v>
      </c>
      <c r="F49" s="20" t="s">
        <v>652</v>
      </c>
      <c r="G49" s="20" t="s">
        <v>71</v>
      </c>
      <c r="H49" s="20" t="s">
        <v>71</v>
      </c>
      <c r="I49" s="20" t="s">
        <v>72</v>
      </c>
      <c r="J49" s="20" t="s">
        <v>25</v>
      </c>
      <c r="K49" s="20" t="s">
        <v>597</v>
      </c>
    </row>
    <row r="50" spans="1:11" ht="30" customHeight="1" x14ac:dyDescent="0.25">
      <c r="A50" s="20" t="s">
        <v>105</v>
      </c>
      <c r="B50" s="20" t="s">
        <v>106</v>
      </c>
      <c r="C50" s="20" t="s">
        <v>598</v>
      </c>
      <c r="D50" s="20" t="s">
        <v>599</v>
      </c>
      <c r="E50" s="20" t="s">
        <v>595</v>
      </c>
      <c r="F50" s="20" t="s">
        <v>653</v>
      </c>
      <c r="G50" s="20" t="s">
        <v>71</v>
      </c>
      <c r="H50" s="20" t="s">
        <v>71</v>
      </c>
      <c r="I50" s="20" t="s">
        <v>72</v>
      </c>
      <c r="J50" s="20" t="s">
        <v>25</v>
      </c>
      <c r="K50" s="20" t="s">
        <v>597</v>
      </c>
    </row>
    <row r="51" spans="1:11" ht="30" customHeight="1" x14ac:dyDescent="0.25">
      <c r="A51" s="20" t="s">
        <v>105</v>
      </c>
      <c r="B51" s="20" t="s">
        <v>106</v>
      </c>
      <c r="C51" s="20" t="s">
        <v>654</v>
      </c>
      <c r="D51" s="20" t="s">
        <v>655</v>
      </c>
      <c r="E51" s="20" t="s">
        <v>595</v>
      </c>
      <c r="F51" s="20" t="s">
        <v>656</v>
      </c>
      <c r="G51" s="20" t="s">
        <v>71</v>
      </c>
      <c r="H51" s="20" t="s">
        <v>78</v>
      </c>
      <c r="I51" s="20" t="s">
        <v>72</v>
      </c>
      <c r="J51" s="20" t="s">
        <v>25</v>
      </c>
      <c r="K51" s="20" t="s">
        <v>597</v>
      </c>
    </row>
    <row r="52" spans="1:11" ht="30" customHeight="1" x14ac:dyDescent="0.25">
      <c r="A52" s="20" t="s">
        <v>105</v>
      </c>
      <c r="B52" s="20" t="s">
        <v>106</v>
      </c>
      <c r="C52" s="20" t="s">
        <v>605</v>
      </c>
      <c r="D52" s="20" t="s">
        <v>606</v>
      </c>
      <c r="E52" s="20" t="s">
        <v>607</v>
      </c>
      <c r="F52" s="20" t="s">
        <v>657</v>
      </c>
      <c r="G52" s="20" t="s">
        <v>71</v>
      </c>
      <c r="H52" s="20" t="s">
        <v>78</v>
      </c>
      <c r="I52" s="20" t="s">
        <v>72</v>
      </c>
      <c r="J52" s="20" t="s">
        <v>25</v>
      </c>
      <c r="K52" s="20" t="s">
        <v>597</v>
      </c>
    </row>
    <row r="53" spans="1:11" ht="30" customHeight="1" x14ac:dyDescent="0.25">
      <c r="A53" s="20" t="s">
        <v>105</v>
      </c>
      <c r="B53" s="20" t="s">
        <v>106</v>
      </c>
      <c r="C53" s="20" t="s">
        <v>609</v>
      </c>
      <c r="D53" s="20" t="s">
        <v>610</v>
      </c>
      <c r="E53" s="20" t="s">
        <v>595</v>
      </c>
      <c r="F53" s="20" t="s">
        <v>658</v>
      </c>
      <c r="G53" s="20" t="s">
        <v>71</v>
      </c>
      <c r="H53" s="20" t="s">
        <v>71</v>
      </c>
      <c r="I53" s="20" t="s">
        <v>72</v>
      </c>
      <c r="J53" s="20" t="s">
        <v>25</v>
      </c>
      <c r="K53" s="20" t="s">
        <v>597</v>
      </c>
    </row>
    <row r="54" spans="1:11" ht="30" customHeight="1" x14ac:dyDescent="0.25">
      <c r="A54" s="20" t="s">
        <v>109</v>
      </c>
      <c r="B54" s="20" t="s">
        <v>110</v>
      </c>
      <c r="C54" s="20" t="s">
        <v>594</v>
      </c>
      <c r="D54" s="20" t="s">
        <v>595</v>
      </c>
      <c r="E54" s="20" t="s">
        <v>595</v>
      </c>
      <c r="F54" s="20" t="s">
        <v>659</v>
      </c>
      <c r="G54" s="20" t="s">
        <v>78</v>
      </c>
      <c r="H54" s="20" t="s">
        <v>71</v>
      </c>
      <c r="I54" s="20" t="s">
        <v>72</v>
      </c>
      <c r="J54" s="20" t="s">
        <v>25</v>
      </c>
      <c r="K54" s="20" t="s">
        <v>597</v>
      </c>
    </row>
    <row r="55" spans="1:11" ht="30" customHeight="1" x14ac:dyDescent="0.25">
      <c r="A55" s="20" t="s">
        <v>109</v>
      </c>
      <c r="B55" s="20" t="s">
        <v>110</v>
      </c>
      <c r="C55" s="20" t="s">
        <v>598</v>
      </c>
      <c r="D55" s="20" t="s">
        <v>599</v>
      </c>
      <c r="E55" s="20" t="s">
        <v>595</v>
      </c>
      <c r="F55" s="20" t="s">
        <v>660</v>
      </c>
      <c r="G55" s="20" t="s">
        <v>78</v>
      </c>
      <c r="H55" s="20" t="s">
        <v>71</v>
      </c>
      <c r="I55" s="20" t="s">
        <v>72</v>
      </c>
      <c r="J55" s="20" t="s">
        <v>25</v>
      </c>
      <c r="K55" s="20" t="s">
        <v>597</v>
      </c>
    </row>
    <row r="56" spans="1:11" ht="30" customHeight="1" x14ac:dyDescent="0.25">
      <c r="A56" s="20" t="s">
        <v>109</v>
      </c>
      <c r="B56" s="20" t="s">
        <v>110</v>
      </c>
      <c r="C56" s="20" t="s">
        <v>654</v>
      </c>
      <c r="D56" s="20" t="s">
        <v>655</v>
      </c>
      <c r="E56" s="20" t="s">
        <v>595</v>
      </c>
      <c r="F56" s="20" t="s">
        <v>661</v>
      </c>
      <c r="G56" s="20" t="s">
        <v>78</v>
      </c>
      <c r="H56" s="20" t="s">
        <v>78</v>
      </c>
      <c r="I56" s="20" t="s">
        <v>72</v>
      </c>
      <c r="J56" s="20" t="s">
        <v>25</v>
      </c>
      <c r="K56" s="20" t="s">
        <v>597</v>
      </c>
    </row>
    <row r="57" spans="1:11" ht="30" customHeight="1" x14ac:dyDescent="0.25">
      <c r="A57" s="20" t="s">
        <v>109</v>
      </c>
      <c r="B57" s="20" t="s">
        <v>110</v>
      </c>
      <c r="C57" s="20" t="s">
        <v>605</v>
      </c>
      <c r="D57" s="20" t="s">
        <v>606</v>
      </c>
      <c r="E57" s="20" t="s">
        <v>607</v>
      </c>
      <c r="F57" s="20" t="s">
        <v>662</v>
      </c>
      <c r="G57" s="20" t="s">
        <v>78</v>
      </c>
      <c r="H57" s="20" t="s">
        <v>78</v>
      </c>
      <c r="I57" s="20" t="s">
        <v>72</v>
      </c>
      <c r="J57" s="20" t="s">
        <v>25</v>
      </c>
      <c r="K57" s="20" t="s">
        <v>597</v>
      </c>
    </row>
    <row r="58" spans="1:11" ht="30" customHeight="1" x14ac:dyDescent="0.25">
      <c r="A58" s="20" t="s">
        <v>109</v>
      </c>
      <c r="B58" s="20" t="s">
        <v>110</v>
      </c>
      <c r="C58" s="20" t="s">
        <v>609</v>
      </c>
      <c r="D58" s="20" t="s">
        <v>610</v>
      </c>
      <c r="E58" s="20" t="s">
        <v>595</v>
      </c>
      <c r="F58" s="20" t="s">
        <v>663</v>
      </c>
      <c r="G58" s="20" t="s">
        <v>78</v>
      </c>
      <c r="H58" s="20" t="s">
        <v>71</v>
      </c>
      <c r="I58" s="20" t="s">
        <v>72</v>
      </c>
      <c r="J58" s="20" t="s">
        <v>25</v>
      </c>
      <c r="K58" s="20" t="s">
        <v>597</v>
      </c>
    </row>
    <row r="59" spans="1:11" ht="30" customHeight="1" x14ac:dyDescent="0.25">
      <c r="A59" s="20" t="s">
        <v>112</v>
      </c>
      <c r="B59" s="20" t="s">
        <v>113</v>
      </c>
      <c r="C59" s="20" t="s">
        <v>594</v>
      </c>
      <c r="D59" s="20" t="s">
        <v>595</v>
      </c>
      <c r="E59" s="20" t="s">
        <v>595</v>
      </c>
      <c r="F59" s="20" t="s">
        <v>664</v>
      </c>
      <c r="G59" s="20" t="s">
        <v>71</v>
      </c>
      <c r="H59" s="20" t="s">
        <v>71</v>
      </c>
      <c r="I59" s="20" t="s">
        <v>72</v>
      </c>
      <c r="J59" s="20" t="s">
        <v>25</v>
      </c>
      <c r="K59" s="20" t="s">
        <v>597</v>
      </c>
    </row>
    <row r="60" spans="1:11" ht="30" customHeight="1" x14ac:dyDescent="0.25">
      <c r="A60" s="20" t="s">
        <v>112</v>
      </c>
      <c r="B60" s="20" t="s">
        <v>113</v>
      </c>
      <c r="C60" s="20" t="s">
        <v>598</v>
      </c>
      <c r="D60" s="20" t="s">
        <v>599</v>
      </c>
      <c r="E60" s="20" t="s">
        <v>595</v>
      </c>
      <c r="F60" s="20" t="s">
        <v>665</v>
      </c>
      <c r="G60" s="20" t="s">
        <v>71</v>
      </c>
      <c r="H60" s="20" t="s">
        <v>71</v>
      </c>
      <c r="I60" s="20" t="s">
        <v>72</v>
      </c>
      <c r="J60" s="20" t="s">
        <v>25</v>
      </c>
      <c r="K60" s="20" t="s">
        <v>597</v>
      </c>
    </row>
    <row r="61" spans="1:11" ht="30" customHeight="1" x14ac:dyDescent="0.25">
      <c r="A61" s="20" t="s">
        <v>112</v>
      </c>
      <c r="B61" s="20" t="s">
        <v>113</v>
      </c>
      <c r="C61" s="20" t="s">
        <v>654</v>
      </c>
      <c r="D61" s="20" t="s">
        <v>655</v>
      </c>
      <c r="E61" s="20" t="s">
        <v>595</v>
      </c>
      <c r="F61" s="20" t="s">
        <v>666</v>
      </c>
      <c r="G61" s="20" t="s">
        <v>71</v>
      </c>
      <c r="H61" s="20" t="s">
        <v>78</v>
      </c>
      <c r="I61" s="20" t="s">
        <v>72</v>
      </c>
      <c r="J61" s="20" t="s">
        <v>25</v>
      </c>
      <c r="K61" s="20" t="s">
        <v>597</v>
      </c>
    </row>
    <row r="62" spans="1:11" ht="30" customHeight="1" x14ac:dyDescent="0.25">
      <c r="A62" s="20" t="s">
        <v>112</v>
      </c>
      <c r="B62" s="20" t="s">
        <v>113</v>
      </c>
      <c r="C62" s="20" t="s">
        <v>605</v>
      </c>
      <c r="D62" s="20" t="s">
        <v>606</v>
      </c>
      <c r="E62" s="20" t="s">
        <v>607</v>
      </c>
      <c r="F62" s="20" t="s">
        <v>667</v>
      </c>
      <c r="G62" s="20" t="s">
        <v>71</v>
      </c>
      <c r="H62" s="20" t="s">
        <v>78</v>
      </c>
      <c r="I62" s="20" t="s">
        <v>72</v>
      </c>
      <c r="J62" s="20" t="s">
        <v>25</v>
      </c>
      <c r="K62" s="20" t="s">
        <v>597</v>
      </c>
    </row>
    <row r="63" spans="1:11" ht="30" customHeight="1" x14ac:dyDescent="0.25">
      <c r="A63" s="20" t="s">
        <v>112</v>
      </c>
      <c r="B63" s="20" t="s">
        <v>113</v>
      </c>
      <c r="C63" s="20" t="s">
        <v>609</v>
      </c>
      <c r="D63" s="20" t="s">
        <v>610</v>
      </c>
      <c r="E63" s="20" t="s">
        <v>595</v>
      </c>
      <c r="F63" s="20" t="s">
        <v>668</v>
      </c>
      <c r="G63" s="20" t="s">
        <v>71</v>
      </c>
      <c r="H63" s="20" t="s">
        <v>71</v>
      </c>
      <c r="I63" s="20" t="s">
        <v>72</v>
      </c>
      <c r="J63" s="20" t="s">
        <v>25</v>
      </c>
      <c r="K63" s="20" t="s">
        <v>597</v>
      </c>
    </row>
    <row r="64" spans="1:11" ht="30" customHeight="1" x14ac:dyDescent="0.25">
      <c r="A64" s="20" t="s">
        <v>116</v>
      </c>
      <c r="B64" s="20" t="s">
        <v>117</v>
      </c>
      <c r="C64" s="20" t="s">
        <v>594</v>
      </c>
      <c r="D64" s="20" t="s">
        <v>595</v>
      </c>
      <c r="E64" s="20" t="s">
        <v>595</v>
      </c>
      <c r="F64" s="20" t="s">
        <v>669</v>
      </c>
      <c r="G64" s="20" t="s">
        <v>78</v>
      </c>
      <c r="H64" s="20" t="s">
        <v>71</v>
      </c>
      <c r="I64" s="20" t="s">
        <v>72</v>
      </c>
      <c r="J64" s="20" t="s">
        <v>25</v>
      </c>
      <c r="K64" s="20" t="s">
        <v>597</v>
      </c>
    </row>
    <row r="65" spans="1:11" ht="30" customHeight="1" x14ac:dyDescent="0.25">
      <c r="A65" s="20" t="s">
        <v>116</v>
      </c>
      <c r="B65" s="20" t="s">
        <v>117</v>
      </c>
      <c r="C65" s="20" t="s">
        <v>598</v>
      </c>
      <c r="D65" s="20" t="s">
        <v>599</v>
      </c>
      <c r="E65" s="20" t="s">
        <v>595</v>
      </c>
      <c r="F65" s="20" t="s">
        <v>670</v>
      </c>
      <c r="G65" s="20" t="s">
        <v>78</v>
      </c>
      <c r="H65" s="20" t="s">
        <v>71</v>
      </c>
      <c r="I65" s="20" t="s">
        <v>72</v>
      </c>
      <c r="J65" s="20" t="s">
        <v>25</v>
      </c>
      <c r="K65" s="20" t="s">
        <v>597</v>
      </c>
    </row>
    <row r="66" spans="1:11" ht="30" customHeight="1" x14ac:dyDescent="0.25">
      <c r="A66" s="20" t="s">
        <v>116</v>
      </c>
      <c r="B66" s="20" t="s">
        <v>117</v>
      </c>
      <c r="C66" s="20" t="s">
        <v>654</v>
      </c>
      <c r="D66" s="20" t="s">
        <v>655</v>
      </c>
      <c r="E66" s="20" t="s">
        <v>595</v>
      </c>
      <c r="F66" s="20" t="s">
        <v>671</v>
      </c>
      <c r="G66" s="20" t="s">
        <v>78</v>
      </c>
      <c r="H66" s="20" t="s">
        <v>78</v>
      </c>
      <c r="I66" s="20" t="s">
        <v>72</v>
      </c>
      <c r="J66" s="20" t="s">
        <v>25</v>
      </c>
      <c r="K66" s="20" t="s">
        <v>597</v>
      </c>
    </row>
    <row r="67" spans="1:11" ht="30" customHeight="1" x14ac:dyDescent="0.25">
      <c r="A67" s="20" t="s">
        <v>116</v>
      </c>
      <c r="B67" s="20" t="s">
        <v>117</v>
      </c>
      <c r="C67" s="20" t="s">
        <v>605</v>
      </c>
      <c r="D67" s="20" t="s">
        <v>606</v>
      </c>
      <c r="E67" s="20" t="s">
        <v>607</v>
      </c>
      <c r="F67" s="20" t="s">
        <v>672</v>
      </c>
      <c r="G67" s="20" t="s">
        <v>78</v>
      </c>
      <c r="H67" s="20" t="s">
        <v>78</v>
      </c>
      <c r="I67" s="20" t="s">
        <v>72</v>
      </c>
      <c r="J67" s="20" t="s">
        <v>25</v>
      </c>
      <c r="K67" s="20" t="s">
        <v>597</v>
      </c>
    </row>
    <row r="68" spans="1:11" ht="30" customHeight="1" x14ac:dyDescent="0.25">
      <c r="A68" s="20" t="s">
        <v>116</v>
      </c>
      <c r="B68" s="20" t="s">
        <v>117</v>
      </c>
      <c r="C68" s="20" t="s">
        <v>609</v>
      </c>
      <c r="D68" s="20" t="s">
        <v>610</v>
      </c>
      <c r="E68" s="20" t="s">
        <v>595</v>
      </c>
      <c r="F68" s="20" t="s">
        <v>673</v>
      </c>
      <c r="G68" s="20" t="s">
        <v>78</v>
      </c>
      <c r="H68" s="20" t="s">
        <v>71</v>
      </c>
      <c r="I68" s="20" t="s">
        <v>72</v>
      </c>
      <c r="J68" s="20" t="s">
        <v>25</v>
      </c>
      <c r="K68" s="20" t="s">
        <v>597</v>
      </c>
    </row>
    <row r="69" spans="1:11" ht="30" customHeight="1" x14ac:dyDescent="0.25">
      <c r="A69" s="20" t="s">
        <v>119</v>
      </c>
      <c r="B69" s="20" t="s">
        <v>120</v>
      </c>
      <c r="C69" s="20" t="s">
        <v>594</v>
      </c>
      <c r="D69" s="20" t="s">
        <v>595</v>
      </c>
      <c r="E69" s="20" t="s">
        <v>595</v>
      </c>
      <c r="F69" s="20" t="s">
        <v>674</v>
      </c>
      <c r="G69" s="20" t="s">
        <v>78</v>
      </c>
      <c r="H69" s="20" t="s">
        <v>71</v>
      </c>
      <c r="I69" s="20" t="s">
        <v>72</v>
      </c>
      <c r="J69" s="20" t="s">
        <v>25</v>
      </c>
      <c r="K69" s="20" t="s">
        <v>597</v>
      </c>
    </row>
    <row r="70" spans="1:11" ht="30" customHeight="1" x14ac:dyDescent="0.25">
      <c r="A70" s="20" t="s">
        <v>119</v>
      </c>
      <c r="B70" s="20" t="s">
        <v>120</v>
      </c>
      <c r="C70" s="20" t="s">
        <v>598</v>
      </c>
      <c r="D70" s="20" t="s">
        <v>599</v>
      </c>
      <c r="E70" s="20" t="s">
        <v>595</v>
      </c>
      <c r="F70" s="20" t="s">
        <v>675</v>
      </c>
      <c r="G70" s="20" t="s">
        <v>78</v>
      </c>
      <c r="H70" s="20" t="s">
        <v>71</v>
      </c>
      <c r="I70" s="20" t="s">
        <v>72</v>
      </c>
      <c r="J70" s="20" t="s">
        <v>25</v>
      </c>
      <c r="K70" s="20" t="s">
        <v>597</v>
      </c>
    </row>
    <row r="71" spans="1:11" ht="30" customHeight="1" x14ac:dyDescent="0.25">
      <c r="A71" s="20" t="s">
        <v>119</v>
      </c>
      <c r="B71" s="20" t="s">
        <v>120</v>
      </c>
      <c r="C71" s="20" t="s">
        <v>654</v>
      </c>
      <c r="D71" s="20" t="s">
        <v>655</v>
      </c>
      <c r="E71" s="20" t="s">
        <v>595</v>
      </c>
      <c r="F71" s="20" t="s">
        <v>676</v>
      </c>
      <c r="G71" s="20" t="s">
        <v>78</v>
      </c>
      <c r="H71" s="20" t="s">
        <v>78</v>
      </c>
      <c r="I71" s="20" t="s">
        <v>72</v>
      </c>
      <c r="J71" s="20" t="s">
        <v>25</v>
      </c>
      <c r="K71" s="20" t="s">
        <v>597</v>
      </c>
    </row>
    <row r="72" spans="1:11" ht="30" customHeight="1" x14ac:dyDescent="0.25">
      <c r="A72" s="20" t="s">
        <v>119</v>
      </c>
      <c r="B72" s="20" t="s">
        <v>120</v>
      </c>
      <c r="C72" s="20" t="s">
        <v>605</v>
      </c>
      <c r="D72" s="20" t="s">
        <v>606</v>
      </c>
      <c r="E72" s="20" t="s">
        <v>607</v>
      </c>
      <c r="F72" s="20" t="s">
        <v>677</v>
      </c>
      <c r="G72" s="20" t="s">
        <v>78</v>
      </c>
      <c r="H72" s="20" t="s">
        <v>78</v>
      </c>
      <c r="I72" s="20" t="s">
        <v>72</v>
      </c>
      <c r="J72" s="20" t="s">
        <v>25</v>
      </c>
      <c r="K72" s="20" t="s">
        <v>597</v>
      </c>
    </row>
    <row r="73" spans="1:11" ht="30" customHeight="1" x14ac:dyDescent="0.25">
      <c r="A73" s="20" t="s">
        <v>119</v>
      </c>
      <c r="B73" s="20" t="s">
        <v>120</v>
      </c>
      <c r="C73" s="20" t="s">
        <v>609</v>
      </c>
      <c r="D73" s="20" t="s">
        <v>610</v>
      </c>
      <c r="E73" s="20" t="s">
        <v>595</v>
      </c>
      <c r="F73" s="20" t="s">
        <v>678</v>
      </c>
      <c r="G73" s="20" t="s">
        <v>78</v>
      </c>
      <c r="H73" s="20" t="s">
        <v>71</v>
      </c>
      <c r="I73" s="20" t="s">
        <v>72</v>
      </c>
      <c r="J73" s="20" t="s">
        <v>25</v>
      </c>
      <c r="K73" s="20" t="s">
        <v>597</v>
      </c>
    </row>
    <row r="74" spans="1:11" ht="30" customHeight="1" x14ac:dyDescent="0.25">
      <c r="A74" s="20" t="s">
        <v>124</v>
      </c>
      <c r="B74" s="20" t="s">
        <v>125</v>
      </c>
      <c r="C74" s="20" t="s">
        <v>679</v>
      </c>
      <c r="D74" s="20" t="s">
        <v>680</v>
      </c>
      <c r="E74" s="20" t="s">
        <v>681</v>
      </c>
      <c r="F74" s="20" t="s">
        <v>682</v>
      </c>
      <c r="G74" s="20" t="s">
        <v>71</v>
      </c>
      <c r="H74" s="20" t="s">
        <v>71</v>
      </c>
      <c r="I74" s="20" t="s">
        <v>72</v>
      </c>
      <c r="J74" s="20" t="s">
        <v>25</v>
      </c>
      <c r="K74" s="20" t="s">
        <v>597</v>
      </c>
    </row>
    <row r="75" spans="1:11" ht="30" customHeight="1" x14ac:dyDescent="0.25">
      <c r="A75" s="20" t="s">
        <v>124</v>
      </c>
      <c r="B75" s="20" t="s">
        <v>125</v>
      </c>
      <c r="C75" s="20" t="s">
        <v>683</v>
      </c>
      <c r="D75" s="20" t="s">
        <v>684</v>
      </c>
      <c r="E75" s="20" t="s">
        <v>685</v>
      </c>
      <c r="F75" s="20" t="s">
        <v>686</v>
      </c>
      <c r="G75" s="20" t="s">
        <v>71</v>
      </c>
      <c r="H75" s="20" t="s">
        <v>71</v>
      </c>
      <c r="I75" s="20" t="s">
        <v>72</v>
      </c>
      <c r="J75" s="20" t="s">
        <v>25</v>
      </c>
      <c r="K75" s="20" t="s">
        <v>597</v>
      </c>
    </row>
    <row r="76" spans="1:11" ht="30" customHeight="1" x14ac:dyDescent="0.25">
      <c r="A76" s="20" t="s">
        <v>124</v>
      </c>
      <c r="B76" s="20" t="s">
        <v>125</v>
      </c>
      <c r="C76" s="20" t="s">
        <v>687</v>
      </c>
      <c r="D76" s="20" t="s">
        <v>688</v>
      </c>
      <c r="E76" s="20" t="s">
        <v>689</v>
      </c>
      <c r="F76" s="20" t="s">
        <v>690</v>
      </c>
      <c r="G76" s="20" t="s">
        <v>71</v>
      </c>
      <c r="H76" s="20" t="s">
        <v>71</v>
      </c>
      <c r="I76" s="20" t="s">
        <v>72</v>
      </c>
      <c r="J76" s="20" t="s">
        <v>25</v>
      </c>
      <c r="K76" s="20" t="s">
        <v>597</v>
      </c>
    </row>
    <row r="77" spans="1:11" ht="30" customHeight="1" x14ac:dyDescent="0.25">
      <c r="A77" s="20" t="s">
        <v>124</v>
      </c>
      <c r="B77" s="20" t="s">
        <v>125</v>
      </c>
      <c r="C77" s="20" t="s">
        <v>601</v>
      </c>
      <c r="D77" s="20" t="s">
        <v>602</v>
      </c>
      <c r="E77" s="20" t="s">
        <v>603</v>
      </c>
      <c r="F77" s="20" t="s">
        <v>691</v>
      </c>
      <c r="G77" s="20" t="s">
        <v>71</v>
      </c>
      <c r="H77" s="20" t="s">
        <v>71</v>
      </c>
      <c r="I77" s="20" t="s">
        <v>72</v>
      </c>
      <c r="J77" s="20" t="s">
        <v>25</v>
      </c>
      <c r="K77" s="20" t="s">
        <v>597</v>
      </c>
    </row>
    <row r="78" spans="1:11" ht="30" customHeight="1" x14ac:dyDescent="0.25">
      <c r="A78" s="20" t="s">
        <v>124</v>
      </c>
      <c r="B78" s="20" t="s">
        <v>125</v>
      </c>
      <c r="C78" s="20" t="s">
        <v>692</v>
      </c>
      <c r="D78" s="20" t="s">
        <v>693</v>
      </c>
      <c r="E78" s="20" t="s">
        <v>689</v>
      </c>
      <c r="F78" s="20" t="s">
        <v>694</v>
      </c>
      <c r="G78" s="20" t="s">
        <v>71</v>
      </c>
      <c r="H78" s="20" t="s">
        <v>71</v>
      </c>
      <c r="I78" s="20" t="s">
        <v>72</v>
      </c>
      <c r="J78" s="20" t="s">
        <v>25</v>
      </c>
      <c r="K78" s="20" t="s">
        <v>597</v>
      </c>
    </row>
    <row r="79" spans="1:11" ht="30" customHeight="1" x14ac:dyDescent="0.25">
      <c r="A79" s="20" t="s">
        <v>124</v>
      </c>
      <c r="B79" s="20" t="s">
        <v>125</v>
      </c>
      <c r="C79" s="20" t="s">
        <v>609</v>
      </c>
      <c r="D79" s="20" t="s">
        <v>610</v>
      </c>
      <c r="E79" s="20" t="s">
        <v>595</v>
      </c>
      <c r="F79" s="20" t="s">
        <v>695</v>
      </c>
      <c r="G79" s="20" t="s">
        <v>71</v>
      </c>
      <c r="H79" s="20" t="s">
        <v>71</v>
      </c>
      <c r="I79" s="20" t="s">
        <v>72</v>
      </c>
      <c r="J79" s="20" t="s">
        <v>25</v>
      </c>
      <c r="K79" s="20" t="s">
        <v>597</v>
      </c>
    </row>
    <row r="80" spans="1:11" ht="30" customHeight="1" x14ac:dyDescent="0.25">
      <c r="A80" s="20" t="s">
        <v>129</v>
      </c>
      <c r="B80" s="20" t="s">
        <v>130</v>
      </c>
      <c r="C80" s="20" t="s">
        <v>679</v>
      </c>
      <c r="D80" s="20" t="s">
        <v>680</v>
      </c>
      <c r="E80" s="20" t="s">
        <v>681</v>
      </c>
      <c r="F80" s="20" t="s">
        <v>696</v>
      </c>
      <c r="G80" s="20" t="s">
        <v>71</v>
      </c>
      <c r="H80" s="20" t="s">
        <v>71</v>
      </c>
      <c r="I80" s="20" t="s">
        <v>72</v>
      </c>
      <c r="J80" s="20" t="s">
        <v>25</v>
      </c>
      <c r="K80" s="20" t="s">
        <v>597</v>
      </c>
    </row>
    <row r="81" spans="1:11" ht="30" customHeight="1" x14ac:dyDescent="0.25">
      <c r="A81" s="20" t="s">
        <v>129</v>
      </c>
      <c r="B81" s="20" t="s">
        <v>130</v>
      </c>
      <c r="C81" s="20" t="s">
        <v>683</v>
      </c>
      <c r="D81" s="20" t="s">
        <v>684</v>
      </c>
      <c r="E81" s="20" t="s">
        <v>685</v>
      </c>
      <c r="F81" s="20" t="s">
        <v>697</v>
      </c>
      <c r="G81" s="20" t="s">
        <v>71</v>
      </c>
      <c r="H81" s="20" t="s">
        <v>71</v>
      </c>
      <c r="I81" s="20" t="s">
        <v>72</v>
      </c>
      <c r="J81" s="20" t="s">
        <v>25</v>
      </c>
      <c r="K81" s="20" t="s">
        <v>597</v>
      </c>
    </row>
    <row r="82" spans="1:11" ht="30" customHeight="1" x14ac:dyDescent="0.25">
      <c r="A82" s="20" t="s">
        <v>129</v>
      </c>
      <c r="B82" s="20" t="s">
        <v>130</v>
      </c>
      <c r="C82" s="20" t="s">
        <v>687</v>
      </c>
      <c r="D82" s="20" t="s">
        <v>688</v>
      </c>
      <c r="E82" s="20" t="s">
        <v>689</v>
      </c>
      <c r="F82" s="20" t="s">
        <v>698</v>
      </c>
      <c r="G82" s="20" t="s">
        <v>71</v>
      </c>
      <c r="H82" s="20" t="s">
        <v>71</v>
      </c>
      <c r="I82" s="20" t="s">
        <v>72</v>
      </c>
      <c r="J82" s="20" t="s">
        <v>25</v>
      </c>
      <c r="K82" s="20" t="s">
        <v>597</v>
      </c>
    </row>
    <row r="83" spans="1:11" ht="30" customHeight="1" x14ac:dyDescent="0.25">
      <c r="A83" s="20" t="s">
        <v>129</v>
      </c>
      <c r="B83" s="20" t="s">
        <v>130</v>
      </c>
      <c r="C83" s="20" t="s">
        <v>601</v>
      </c>
      <c r="D83" s="20" t="s">
        <v>602</v>
      </c>
      <c r="E83" s="20" t="s">
        <v>603</v>
      </c>
      <c r="F83" s="20" t="s">
        <v>699</v>
      </c>
      <c r="G83" s="20" t="s">
        <v>71</v>
      </c>
      <c r="H83" s="20" t="s">
        <v>71</v>
      </c>
      <c r="I83" s="20" t="s">
        <v>72</v>
      </c>
      <c r="J83" s="20" t="s">
        <v>25</v>
      </c>
      <c r="K83" s="20" t="s">
        <v>597</v>
      </c>
    </row>
    <row r="84" spans="1:11" ht="30" customHeight="1" x14ac:dyDescent="0.25">
      <c r="A84" s="20" t="s">
        <v>129</v>
      </c>
      <c r="B84" s="20" t="s">
        <v>130</v>
      </c>
      <c r="C84" s="20" t="s">
        <v>692</v>
      </c>
      <c r="D84" s="20" t="s">
        <v>693</v>
      </c>
      <c r="E84" s="20" t="s">
        <v>689</v>
      </c>
      <c r="F84" s="20" t="s">
        <v>700</v>
      </c>
      <c r="G84" s="20" t="s">
        <v>71</v>
      </c>
      <c r="H84" s="20" t="s">
        <v>71</v>
      </c>
      <c r="I84" s="20" t="s">
        <v>72</v>
      </c>
      <c r="J84" s="20" t="s">
        <v>25</v>
      </c>
      <c r="K84" s="20" t="s">
        <v>597</v>
      </c>
    </row>
    <row r="85" spans="1:11" ht="30" customHeight="1" x14ac:dyDescent="0.25">
      <c r="A85" s="20" t="s">
        <v>129</v>
      </c>
      <c r="B85" s="20" t="s">
        <v>130</v>
      </c>
      <c r="C85" s="20" t="s">
        <v>609</v>
      </c>
      <c r="D85" s="20" t="s">
        <v>610</v>
      </c>
      <c r="E85" s="20" t="s">
        <v>595</v>
      </c>
      <c r="F85" s="20" t="s">
        <v>701</v>
      </c>
      <c r="G85" s="20" t="s">
        <v>71</v>
      </c>
      <c r="H85" s="20" t="s">
        <v>71</v>
      </c>
      <c r="I85" s="20" t="s">
        <v>72</v>
      </c>
      <c r="J85" s="20" t="s">
        <v>25</v>
      </c>
      <c r="K85" s="20" t="s">
        <v>597</v>
      </c>
    </row>
    <row r="86" spans="1:11" ht="30" customHeight="1" x14ac:dyDescent="0.25">
      <c r="A86" s="20" t="s">
        <v>133</v>
      </c>
      <c r="B86" s="20" t="s">
        <v>134</v>
      </c>
      <c r="C86" s="20" t="s">
        <v>679</v>
      </c>
      <c r="D86" s="20" t="s">
        <v>680</v>
      </c>
      <c r="E86" s="20" t="s">
        <v>681</v>
      </c>
      <c r="F86" s="20" t="s">
        <v>702</v>
      </c>
      <c r="G86" s="20" t="s">
        <v>71</v>
      </c>
      <c r="H86" s="20" t="s">
        <v>71</v>
      </c>
      <c r="I86" s="20" t="s">
        <v>72</v>
      </c>
      <c r="J86" s="20" t="s">
        <v>25</v>
      </c>
      <c r="K86" s="20" t="s">
        <v>597</v>
      </c>
    </row>
    <row r="87" spans="1:11" ht="30" customHeight="1" x14ac:dyDescent="0.25">
      <c r="A87" s="20" t="s">
        <v>133</v>
      </c>
      <c r="B87" s="20" t="s">
        <v>134</v>
      </c>
      <c r="C87" s="20" t="s">
        <v>683</v>
      </c>
      <c r="D87" s="20" t="s">
        <v>684</v>
      </c>
      <c r="E87" s="20" t="s">
        <v>685</v>
      </c>
      <c r="F87" s="20" t="s">
        <v>703</v>
      </c>
      <c r="G87" s="20" t="s">
        <v>71</v>
      </c>
      <c r="H87" s="20" t="s">
        <v>71</v>
      </c>
      <c r="I87" s="20" t="s">
        <v>72</v>
      </c>
      <c r="J87" s="20" t="s">
        <v>25</v>
      </c>
      <c r="K87" s="20" t="s">
        <v>597</v>
      </c>
    </row>
    <row r="88" spans="1:11" ht="30" customHeight="1" x14ac:dyDescent="0.25">
      <c r="A88" s="20" t="s">
        <v>133</v>
      </c>
      <c r="B88" s="20" t="s">
        <v>134</v>
      </c>
      <c r="C88" s="20" t="s">
        <v>687</v>
      </c>
      <c r="D88" s="20" t="s">
        <v>688</v>
      </c>
      <c r="E88" s="20" t="s">
        <v>689</v>
      </c>
      <c r="F88" s="20" t="s">
        <v>704</v>
      </c>
      <c r="G88" s="20" t="s">
        <v>71</v>
      </c>
      <c r="H88" s="20" t="s">
        <v>71</v>
      </c>
      <c r="I88" s="20" t="s">
        <v>72</v>
      </c>
      <c r="J88" s="20" t="s">
        <v>25</v>
      </c>
      <c r="K88" s="20" t="s">
        <v>597</v>
      </c>
    </row>
    <row r="89" spans="1:11" ht="30" customHeight="1" x14ac:dyDescent="0.25">
      <c r="A89" s="20" t="s">
        <v>133</v>
      </c>
      <c r="B89" s="20" t="s">
        <v>134</v>
      </c>
      <c r="C89" s="20" t="s">
        <v>601</v>
      </c>
      <c r="D89" s="20" t="s">
        <v>602</v>
      </c>
      <c r="E89" s="20" t="s">
        <v>603</v>
      </c>
      <c r="F89" s="20" t="s">
        <v>705</v>
      </c>
      <c r="G89" s="20" t="s">
        <v>71</v>
      </c>
      <c r="H89" s="20" t="s">
        <v>71</v>
      </c>
      <c r="I89" s="20" t="s">
        <v>72</v>
      </c>
      <c r="J89" s="20" t="s">
        <v>25</v>
      </c>
      <c r="K89" s="20" t="s">
        <v>597</v>
      </c>
    </row>
    <row r="90" spans="1:11" ht="30" customHeight="1" x14ac:dyDescent="0.25">
      <c r="A90" s="20" t="s">
        <v>133</v>
      </c>
      <c r="B90" s="20" t="s">
        <v>134</v>
      </c>
      <c r="C90" s="20" t="s">
        <v>692</v>
      </c>
      <c r="D90" s="20" t="s">
        <v>693</v>
      </c>
      <c r="E90" s="20" t="s">
        <v>689</v>
      </c>
      <c r="F90" s="20" t="s">
        <v>706</v>
      </c>
      <c r="G90" s="20" t="s">
        <v>71</v>
      </c>
      <c r="H90" s="20" t="s">
        <v>71</v>
      </c>
      <c r="I90" s="20" t="s">
        <v>72</v>
      </c>
      <c r="J90" s="20" t="s">
        <v>25</v>
      </c>
      <c r="K90" s="20" t="s">
        <v>597</v>
      </c>
    </row>
    <row r="91" spans="1:11" ht="30" customHeight="1" x14ac:dyDescent="0.25">
      <c r="A91" s="20" t="s">
        <v>133</v>
      </c>
      <c r="B91" s="20" t="s">
        <v>134</v>
      </c>
      <c r="C91" s="20" t="s">
        <v>609</v>
      </c>
      <c r="D91" s="20" t="s">
        <v>610</v>
      </c>
      <c r="E91" s="20" t="s">
        <v>595</v>
      </c>
      <c r="F91" s="20" t="s">
        <v>707</v>
      </c>
      <c r="G91" s="20" t="s">
        <v>71</v>
      </c>
      <c r="H91" s="20" t="s">
        <v>71</v>
      </c>
      <c r="I91" s="20" t="s">
        <v>72</v>
      </c>
      <c r="J91" s="20" t="s">
        <v>25</v>
      </c>
      <c r="K91" s="20" t="s">
        <v>597</v>
      </c>
    </row>
    <row r="92" spans="1:11" ht="30" customHeight="1" x14ac:dyDescent="0.25">
      <c r="A92" s="20" t="s">
        <v>137</v>
      </c>
      <c r="B92" s="20" t="s">
        <v>138</v>
      </c>
      <c r="C92" s="20" t="s">
        <v>679</v>
      </c>
      <c r="D92" s="20" t="s">
        <v>680</v>
      </c>
      <c r="E92" s="20" t="s">
        <v>681</v>
      </c>
      <c r="F92" s="20" t="s">
        <v>708</v>
      </c>
      <c r="G92" s="20" t="s">
        <v>78</v>
      </c>
      <c r="H92" s="20" t="s">
        <v>71</v>
      </c>
      <c r="I92" s="20" t="s">
        <v>72</v>
      </c>
      <c r="J92" s="20" t="s">
        <v>25</v>
      </c>
      <c r="K92" s="20" t="s">
        <v>597</v>
      </c>
    </row>
    <row r="93" spans="1:11" ht="30" customHeight="1" x14ac:dyDescent="0.25">
      <c r="A93" s="20" t="s">
        <v>137</v>
      </c>
      <c r="B93" s="20" t="s">
        <v>138</v>
      </c>
      <c r="C93" s="20" t="s">
        <v>683</v>
      </c>
      <c r="D93" s="20" t="s">
        <v>684</v>
      </c>
      <c r="E93" s="20" t="s">
        <v>685</v>
      </c>
      <c r="F93" s="20" t="s">
        <v>709</v>
      </c>
      <c r="G93" s="20" t="s">
        <v>78</v>
      </c>
      <c r="H93" s="20" t="s">
        <v>71</v>
      </c>
      <c r="I93" s="20" t="s">
        <v>72</v>
      </c>
      <c r="J93" s="20" t="s">
        <v>25</v>
      </c>
      <c r="K93" s="20" t="s">
        <v>597</v>
      </c>
    </row>
    <row r="94" spans="1:11" ht="30" customHeight="1" x14ac:dyDescent="0.25">
      <c r="A94" s="20" t="s">
        <v>137</v>
      </c>
      <c r="B94" s="20" t="s">
        <v>138</v>
      </c>
      <c r="C94" s="20" t="s">
        <v>687</v>
      </c>
      <c r="D94" s="20" t="s">
        <v>688</v>
      </c>
      <c r="E94" s="20" t="s">
        <v>689</v>
      </c>
      <c r="F94" s="20" t="s">
        <v>710</v>
      </c>
      <c r="G94" s="20" t="s">
        <v>78</v>
      </c>
      <c r="H94" s="20" t="s">
        <v>71</v>
      </c>
      <c r="I94" s="20" t="s">
        <v>72</v>
      </c>
      <c r="J94" s="20" t="s">
        <v>25</v>
      </c>
      <c r="K94" s="20" t="s">
        <v>597</v>
      </c>
    </row>
    <row r="95" spans="1:11" ht="30" customHeight="1" x14ac:dyDescent="0.25">
      <c r="A95" s="20" t="s">
        <v>137</v>
      </c>
      <c r="B95" s="20" t="s">
        <v>138</v>
      </c>
      <c r="C95" s="20" t="s">
        <v>601</v>
      </c>
      <c r="D95" s="20" t="s">
        <v>602</v>
      </c>
      <c r="E95" s="20" t="s">
        <v>603</v>
      </c>
      <c r="F95" s="20" t="s">
        <v>711</v>
      </c>
      <c r="G95" s="20" t="s">
        <v>78</v>
      </c>
      <c r="H95" s="20" t="s">
        <v>71</v>
      </c>
      <c r="I95" s="20" t="s">
        <v>72</v>
      </c>
      <c r="J95" s="20" t="s">
        <v>25</v>
      </c>
      <c r="K95" s="20" t="s">
        <v>597</v>
      </c>
    </row>
    <row r="96" spans="1:11" ht="30" customHeight="1" x14ac:dyDescent="0.25">
      <c r="A96" s="20" t="s">
        <v>137</v>
      </c>
      <c r="B96" s="20" t="s">
        <v>138</v>
      </c>
      <c r="C96" s="20" t="s">
        <v>692</v>
      </c>
      <c r="D96" s="20" t="s">
        <v>693</v>
      </c>
      <c r="E96" s="20" t="s">
        <v>689</v>
      </c>
      <c r="F96" s="20" t="s">
        <v>712</v>
      </c>
      <c r="G96" s="20" t="s">
        <v>78</v>
      </c>
      <c r="H96" s="20" t="s">
        <v>71</v>
      </c>
      <c r="I96" s="20" t="s">
        <v>72</v>
      </c>
      <c r="J96" s="20" t="s">
        <v>25</v>
      </c>
      <c r="K96" s="20" t="s">
        <v>597</v>
      </c>
    </row>
    <row r="97" spans="1:11" ht="30" customHeight="1" x14ac:dyDescent="0.25">
      <c r="A97" s="20" t="s">
        <v>137</v>
      </c>
      <c r="B97" s="20" t="s">
        <v>138</v>
      </c>
      <c r="C97" s="20" t="s">
        <v>609</v>
      </c>
      <c r="D97" s="20" t="s">
        <v>610</v>
      </c>
      <c r="E97" s="20" t="s">
        <v>595</v>
      </c>
      <c r="F97" s="20" t="s">
        <v>713</v>
      </c>
      <c r="G97" s="20" t="s">
        <v>78</v>
      </c>
      <c r="H97" s="20" t="s">
        <v>71</v>
      </c>
      <c r="I97" s="20" t="s">
        <v>72</v>
      </c>
      <c r="J97" s="20" t="s">
        <v>25</v>
      </c>
      <c r="K97" s="20" t="s">
        <v>597</v>
      </c>
    </row>
    <row r="98" spans="1:11" ht="30" customHeight="1" x14ac:dyDescent="0.25">
      <c r="A98" s="20" t="s">
        <v>140</v>
      </c>
      <c r="B98" s="20" t="s">
        <v>141</v>
      </c>
      <c r="C98" s="20" t="s">
        <v>679</v>
      </c>
      <c r="D98" s="20" t="s">
        <v>680</v>
      </c>
      <c r="E98" s="20" t="s">
        <v>681</v>
      </c>
      <c r="F98" s="20" t="s">
        <v>714</v>
      </c>
      <c r="G98" s="20" t="s">
        <v>78</v>
      </c>
      <c r="H98" s="20" t="s">
        <v>71</v>
      </c>
      <c r="I98" s="20" t="s">
        <v>72</v>
      </c>
      <c r="J98" s="20" t="s">
        <v>25</v>
      </c>
      <c r="K98" s="20" t="s">
        <v>597</v>
      </c>
    </row>
    <row r="99" spans="1:11" ht="30" customHeight="1" x14ac:dyDescent="0.25">
      <c r="A99" s="20" t="s">
        <v>140</v>
      </c>
      <c r="B99" s="20" t="s">
        <v>141</v>
      </c>
      <c r="C99" s="20" t="s">
        <v>683</v>
      </c>
      <c r="D99" s="20" t="s">
        <v>684</v>
      </c>
      <c r="E99" s="20" t="s">
        <v>685</v>
      </c>
      <c r="F99" s="20" t="s">
        <v>715</v>
      </c>
      <c r="G99" s="20" t="s">
        <v>78</v>
      </c>
      <c r="H99" s="20" t="s">
        <v>71</v>
      </c>
      <c r="I99" s="20" t="s">
        <v>72</v>
      </c>
      <c r="J99" s="20" t="s">
        <v>25</v>
      </c>
      <c r="K99" s="20" t="s">
        <v>597</v>
      </c>
    </row>
    <row r="100" spans="1:11" ht="30" customHeight="1" x14ac:dyDescent="0.25">
      <c r="A100" s="20" t="s">
        <v>140</v>
      </c>
      <c r="B100" s="20" t="s">
        <v>141</v>
      </c>
      <c r="C100" s="20" t="s">
        <v>687</v>
      </c>
      <c r="D100" s="20" t="s">
        <v>688</v>
      </c>
      <c r="E100" s="20" t="s">
        <v>689</v>
      </c>
      <c r="F100" s="20" t="s">
        <v>716</v>
      </c>
      <c r="G100" s="20" t="s">
        <v>78</v>
      </c>
      <c r="H100" s="20" t="s">
        <v>71</v>
      </c>
      <c r="I100" s="20" t="s">
        <v>72</v>
      </c>
      <c r="J100" s="20" t="s">
        <v>25</v>
      </c>
      <c r="K100" s="20" t="s">
        <v>597</v>
      </c>
    </row>
    <row r="101" spans="1:11" ht="30" customHeight="1" x14ac:dyDescent="0.25">
      <c r="A101" s="20" t="s">
        <v>140</v>
      </c>
      <c r="B101" s="20" t="s">
        <v>141</v>
      </c>
      <c r="C101" s="20" t="s">
        <v>601</v>
      </c>
      <c r="D101" s="20" t="s">
        <v>602</v>
      </c>
      <c r="E101" s="20" t="s">
        <v>603</v>
      </c>
      <c r="F101" s="20" t="s">
        <v>717</v>
      </c>
      <c r="G101" s="20" t="s">
        <v>78</v>
      </c>
      <c r="H101" s="20" t="s">
        <v>71</v>
      </c>
      <c r="I101" s="20" t="s">
        <v>72</v>
      </c>
      <c r="J101" s="20" t="s">
        <v>25</v>
      </c>
      <c r="K101" s="20" t="s">
        <v>597</v>
      </c>
    </row>
    <row r="102" spans="1:11" ht="30" customHeight="1" x14ac:dyDescent="0.25">
      <c r="A102" s="20" t="s">
        <v>140</v>
      </c>
      <c r="B102" s="20" t="s">
        <v>141</v>
      </c>
      <c r="C102" s="20" t="s">
        <v>692</v>
      </c>
      <c r="D102" s="20" t="s">
        <v>693</v>
      </c>
      <c r="E102" s="20" t="s">
        <v>689</v>
      </c>
      <c r="F102" s="20" t="s">
        <v>718</v>
      </c>
      <c r="G102" s="20" t="s">
        <v>78</v>
      </c>
      <c r="H102" s="20" t="s">
        <v>71</v>
      </c>
      <c r="I102" s="20" t="s">
        <v>72</v>
      </c>
      <c r="J102" s="20" t="s">
        <v>25</v>
      </c>
      <c r="K102" s="20" t="s">
        <v>597</v>
      </c>
    </row>
    <row r="103" spans="1:11" ht="30" customHeight="1" x14ac:dyDescent="0.25">
      <c r="A103" s="20" t="s">
        <v>140</v>
      </c>
      <c r="B103" s="20" t="s">
        <v>141</v>
      </c>
      <c r="C103" s="20" t="s">
        <v>609</v>
      </c>
      <c r="D103" s="20" t="s">
        <v>610</v>
      </c>
      <c r="E103" s="20" t="s">
        <v>595</v>
      </c>
      <c r="F103" s="20" t="s">
        <v>719</v>
      </c>
      <c r="G103" s="20" t="s">
        <v>78</v>
      </c>
      <c r="H103" s="20" t="s">
        <v>71</v>
      </c>
      <c r="I103" s="20" t="s">
        <v>72</v>
      </c>
      <c r="J103" s="20" t="s">
        <v>25</v>
      </c>
      <c r="K103" s="20" t="s">
        <v>597</v>
      </c>
    </row>
    <row r="104" spans="1:11" ht="30" customHeight="1" x14ac:dyDescent="0.25">
      <c r="A104" s="20" t="s">
        <v>144</v>
      </c>
      <c r="B104" s="20" t="s">
        <v>145</v>
      </c>
      <c r="C104" s="20" t="s">
        <v>679</v>
      </c>
      <c r="D104" s="20" t="s">
        <v>680</v>
      </c>
      <c r="E104" s="20" t="s">
        <v>681</v>
      </c>
      <c r="F104" s="20" t="s">
        <v>720</v>
      </c>
      <c r="G104" s="20" t="s">
        <v>78</v>
      </c>
      <c r="H104" s="20" t="s">
        <v>71</v>
      </c>
      <c r="I104" s="20" t="s">
        <v>72</v>
      </c>
      <c r="J104" s="20" t="s">
        <v>25</v>
      </c>
      <c r="K104" s="20" t="s">
        <v>597</v>
      </c>
    </row>
    <row r="105" spans="1:11" ht="30" customHeight="1" x14ac:dyDescent="0.25">
      <c r="A105" s="20" t="s">
        <v>144</v>
      </c>
      <c r="B105" s="20" t="s">
        <v>145</v>
      </c>
      <c r="C105" s="20" t="s">
        <v>683</v>
      </c>
      <c r="D105" s="20" t="s">
        <v>684</v>
      </c>
      <c r="E105" s="20" t="s">
        <v>685</v>
      </c>
      <c r="F105" s="20" t="s">
        <v>721</v>
      </c>
      <c r="G105" s="20" t="s">
        <v>78</v>
      </c>
      <c r="H105" s="20" t="s">
        <v>71</v>
      </c>
      <c r="I105" s="20" t="s">
        <v>72</v>
      </c>
      <c r="J105" s="20" t="s">
        <v>25</v>
      </c>
      <c r="K105" s="20" t="s">
        <v>597</v>
      </c>
    </row>
    <row r="106" spans="1:11" ht="30" customHeight="1" x14ac:dyDescent="0.25">
      <c r="A106" s="20" t="s">
        <v>144</v>
      </c>
      <c r="B106" s="20" t="s">
        <v>145</v>
      </c>
      <c r="C106" s="20" t="s">
        <v>687</v>
      </c>
      <c r="D106" s="20" t="s">
        <v>688</v>
      </c>
      <c r="E106" s="20" t="s">
        <v>689</v>
      </c>
      <c r="F106" s="20" t="s">
        <v>722</v>
      </c>
      <c r="G106" s="20" t="s">
        <v>78</v>
      </c>
      <c r="H106" s="20" t="s">
        <v>71</v>
      </c>
      <c r="I106" s="20" t="s">
        <v>72</v>
      </c>
      <c r="J106" s="20" t="s">
        <v>25</v>
      </c>
      <c r="K106" s="20" t="s">
        <v>597</v>
      </c>
    </row>
    <row r="107" spans="1:11" ht="30" customHeight="1" x14ac:dyDescent="0.25">
      <c r="A107" s="20" t="s">
        <v>144</v>
      </c>
      <c r="B107" s="20" t="s">
        <v>145</v>
      </c>
      <c r="C107" s="20" t="s">
        <v>601</v>
      </c>
      <c r="D107" s="20" t="s">
        <v>602</v>
      </c>
      <c r="E107" s="20" t="s">
        <v>603</v>
      </c>
      <c r="F107" s="20" t="s">
        <v>723</v>
      </c>
      <c r="G107" s="20" t="s">
        <v>78</v>
      </c>
      <c r="H107" s="20" t="s">
        <v>71</v>
      </c>
      <c r="I107" s="20" t="s">
        <v>72</v>
      </c>
      <c r="J107" s="20" t="s">
        <v>25</v>
      </c>
      <c r="K107" s="20" t="s">
        <v>597</v>
      </c>
    </row>
    <row r="108" spans="1:11" ht="30" customHeight="1" x14ac:dyDescent="0.25">
      <c r="A108" s="20" t="s">
        <v>144</v>
      </c>
      <c r="B108" s="20" t="s">
        <v>145</v>
      </c>
      <c r="C108" s="20" t="s">
        <v>692</v>
      </c>
      <c r="D108" s="20" t="s">
        <v>693</v>
      </c>
      <c r="E108" s="20" t="s">
        <v>689</v>
      </c>
      <c r="F108" s="20" t="s">
        <v>724</v>
      </c>
      <c r="G108" s="20" t="s">
        <v>78</v>
      </c>
      <c r="H108" s="20" t="s">
        <v>71</v>
      </c>
      <c r="I108" s="20" t="s">
        <v>72</v>
      </c>
      <c r="J108" s="20" t="s">
        <v>25</v>
      </c>
      <c r="K108" s="20" t="s">
        <v>597</v>
      </c>
    </row>
    <row r="109" spans="1:11" ht="30" customHeight="1" x14ac:dyDescent="0.25">
      <c r="A109" s="20" t="s">
        <v>144</v>
      </c>
      <c r="B109" s="20" t="s">
        <v>145</v>
      </c>
      <c r="C109" s="20" t="s">
        <v>609</v>
      </c>
      <c r="D109" s="20" t="s">
        <v>610</v>
      </c>
      <c r="E109" s="20" t="s">
        <v>595</v>
      </c>
      <c r="F109" s="20" t="s">
        <v>725</v>
      </c>
      <c r="G109" s="20" t="s">
        <v>78</v>
      </c>
      <c r="H109" s="20" t="s">
        <v>71</v>
      </c>
      <c r="I109" s="20" t="s">
        <v>72</v>
      </c>
      <c r="J109" s="20" t="s">
        <v>25</v>
      </c>
      <c r="K109" s="20" t="s">
        <v>597</v>
      </c>
    </row>
    <row r="110" spans="1:11" ht="30" customHeight="1" x14ac:dyDescent="0.25">
      <c r="A110" s="20" t="s">
        <v>148</v>
      </c>
      <c r="B110" s="20" t="s">
        <v>149</v>
      </c>
      <c r="C110" s="20" t="s">
        <v>679</v>
      </c>
      <c r="D110" s="20" t="s">
        <v>680</v>
      </c>
      <c r="E110" s="20" t="s">
        <v>681</v>
      </c>
      <c r="F110" s="20" t="s">
        <v>726</v>
      </c>
      <c r="G110" s="20" t="s">
        <v>78</v>
      </c>
      <c r="H110" s="20" t="s">
        <v>71</v>
      </c>
      <c r="I110" s="20" t="s">
        <v>72</v>
      </c>
      <c r="J110" s="20" t="s">
        <v>25</v>
      </c>
      <c r="K110" s="20" t="s">
        <v>597</v>
      </c>
    </row>
    <row r="111" spans="1:11" ht="30" customHeight="1" x14ac:dyDescent="0.25">
      <c r="A111" s="20" t="s">
        <v>148</v>
      </c>
      <c r="B111" s="20" t="s">
        <v>149</v>
      </c>
      <c r="C111" s="20" t="s">
        <v>683</v>
      </c>
      <c r="D111" s="20" t="s">
        <v>684</v>
      </c>
      <c r="E111" s="20" t="s">
        <v>685</v>
      </c>
      <c r="F111" s="20" t="s">
        <v>727</v>
      </c>
      <c r="G111" s="20" t="s">
        <v>78</v>
      </c>
      <c r="H111" s="20" t="s">
        <v>71</v>
      </c>
      <c r="I111" s="20" t="s">
        <v>72</v>
      </c>
      <c r="J111" s="20" t="s">
        <v>25</v>
      </c>
      <c r="K111" s="20" t="s">
        <v>597</v>
      </c>
    </row>
    <row r="112" spans="1:11" ht="30" customHeight="1" x14ac:dyDescent="0.25">
      <c r="A112" s="20" t="s">
        <v>148</v>
      </c>
      <c r="B112" s="20" t="s">
        <v>149</v>
      </c>
      <c r="C112" s="20" t="s">
        <v>687</v>
      </c>
      <c r="D112" s="20" t="s">
        <v>688</v>
      </c>
      <c r="E112" s="20" t="s">
        <v>689</v>
      </c>
      <c r="F112" s="20" t="s">
        <v>728</v>
      </c>
      <c r="G112" s="20" t="s">
        <v>78</v>
      </c>
      <c r="H112" s="20" t="s">
        <v>71</v>
      </c>
      <c r="I112" s="20" t="s">
        <v>72</v>
      </c>
      <c r="J112" s="20" t="s">
        <v>25</v>
      </c>
      <c r="K112" s="20" t="s">
        <v>597</v>
      </c>
    </row>
    <row r="113" spans="1:11" ht="30" customHeight="1" x14ac:dyDescent="0.25">
      <c r="A113" s="20" t="s">
        <v>148</v>
      </c>
      <c r="B113" s="20" t="s">
        <v>149</v>
      </c>
      <c r="C113" s="20" t="s">
        <v>601</v>
      </c>
      <c r="D113" s="20" t="s">
        <v>602</v>
      </c>
      <c r="E113" s="20" t="s">
        <v>603</v>
      </c>
      <c r="F113" s="20" t="s">
        <v>729</v>
      </c>
      <c r="G113" s="20" t="s">
        <v>78</v>
      </c>
      <c r="H113" s="20" t="s">
        <v>71</v>
      </c>
      <c r="I113" s="20" t="s">
        <v>72</v>
      </c>
      <c r="J113" s="20" t="s">
        <v>25</v>
      </c>
      <c r="K113" s="20" t="s">
        <v>597</v>
      </c>
    </row>
    <row r="114" spans="1:11" ht="30" customHeight="1" x14ac:dyDescent="0.25">
      <c r="A114" s="20" t="s">
        <v>148</v>
      </c>
      <c r="B114" s="20" t="s">
        <v>149</v>
      </c>
      <c r="C114" s="20" t="s">
        <v>692</v>
      </c>
      <c r="D114" s="20" t="s">
        <v>693</v>
      </c>
      <c r="E114" s="20" t="s">
        <v>689</v>
      </c>
      <c r="F114" s="20" t="s">
        <v>730</v>
      </c>
      <c r="G114" s="20" t="s">
        <v>78</v>
      </c>
      <c r="H114" s="20" t="s">
        <v>71</v>
      </c>
      <c r="I114" s="20" t="s">
        <v>72</v>
      </c>
      <c r="J114" s="20" t="s">
        <v>25</v>
      </c>
      <c r="K114" s="20" t="s">
        <v>597</v>
      </c>
    </row>
    <row r="115" spans="1:11" ht="30" customHeight="1" x14ac:dyDescent="0.25">
      <c r="A115" s="20" t="s">
        <v>148</v>
      </c>
      <c r="B115" s="20" t="s">
        <v>149</v>
      </c>
      <c r="C115" s="20" t="s">
        <v>609</v>
      </c>
      <c r="D115" s="20" t="s">
        <v>610</v>
      </c>
      <c r="E115" s="20" t="s">
        <v>595</v>
      </c>
      <c r="F115" s="20" t="s">
        <v>731</v>
      </c>
      <c r="G115" s="20" t="s">
        <v>78</v>
      </c>
      <c r="H115" s="20" t="s">
        <v>71</v>
      </c>
      <c r="I115" s="20" t="s">
        <v>72</v>
      </c>
      <c r="J115" s="20" t="s">
        <v>25</v>
      </c>
      <c r="K115" s="20" t="s">
        <v>597</v>
      </c>
    </row>
    <row r="116" spans="1:11" ht="30" customHeight="1" x14ac:dyDescent="0.25">
      <c r="A116" s="20" t="s">
        <v>152</v>
      </c>
      <c r="B116" s="20" t="s">
        <v>153</v>
      </c>
      <c r="C116" s="20" t="s">
        <v>679</v>
      </c>
      <c r="D116" s="20" t="s">
        <v>680</v>
      </c>
      <c r="E116" s="20" t="s">
        <v>681</v>
      </c>
      <c r="F116" s="20" t="s">
        <v>732</v>
      </c>
      <c r="G116" s="20" t="s">
        <v>78</v>
      </c>
      <c r="H116" s="20" t="s">
        <v>71</v>
      </c>
      <c r="I116" s="20" t="s">
        <v>72</v>
      </c>
      <c r="J116" s="20" t="s">
        <v>25</v>
      </c>
      <c r="K116" s="20" t="s">
        <v>597</v>
      </c>
    </row>
    <row r="117" spans="1:11" ht="30" customHeight="1" x14ac:dyDescent="0.25">
      <c r="A117" s="20" t="s">
        <v>152</v>
      </c>
      <c r="B117" s="20" t="s">
        <v>153</v>
      </c>
      <c r="C117" s="20" t="s">
        <v>683</v>
      </c>
      <c r="D117" s="20" t="s">
        <v>684</v>
      </c>
      <c r="E117" s="20" t="s">
        <v>685</v>
      </c>
      <c r="F117" s="20" t="s">
        <v>733</v>
      </c>
      <c r="G117" s="20" t="s">
        <v>78</v>
      </c>
      <c r="H117" s="20" t="s">
        <v>71</v>
      </c>
      <c r="I117" s="20" t="s">
        <v>72</v>
      </c>
      <c r="J117" s="20" t="s">
        <v>25</v>
      </c>
      <c r="K117" s="20" t="s">
        <v>597</v>
      </c>
    </row>
    <row r="118" spans="1:11" ht="30" customHeight="1" x14ac:dyDescent="0.25">
      <c r="A118" s="20" t="s">
        <v>152</v>
      </c>
      <c r="B118" s="20" t="s">
        <v>153</v>
      </c>
      <c r="C118" s="20" t="s">
        <v>687</v>
      </c>
      <c r="D118" s="20" t="s">
        <v>688</v>
      </c>
      <c r="E118" s="20" t="s">
        <v>689</v>
      </c>
      <c r="F118" s="20" t="s">
        <v>734</v>
      </c>
      <c r="G118" s="20" t="s">
        <v>78</v>
      </c>
      <c r="H118" s="20" t="s">
        <v>71</v>
      </c>
      <c r="I118" s="20" t="s">
        <v>72</v>
      </c>
      <c r="J118" s="20" t="s">
        <v>25</v>
      </c>
      <c r="K118" s="20" t="s">
        <v>597</v>
      </c>
    </row>
    <row r="119" spans="1:11" ht="30" customHeight="1" x14ac:dyDescent="0.25">
      <c r="A119" s="20" t="s">
        <v>152</v>
      </c>
      <c r="B119" s="20" t="s">
        <v>153</v>
      </c>
      <c r="C119" s="20" t="s">
        <v>601</v>
      </c>
      <c r="D119" s="20" t="s">
        <v>602</v>
      </c>
      <c r="E119" s="20" t="s">
        <v>603</v>
      </c>
      <c r="F119" s="20" t="s">
        <v>735</v>
      </c>
      <c r="G119" s="20" t="s">
        <v>78</v>
      </c>
      <c r="H119" s="20" t="s">
        <v>71</v>
      </c>
      <c r="I119" s="20" t="s">
        <v>72</v>
      </c>
      <c r="J119" s="20" t="s">
        <v>25</v>
      </c>
      <c r="K119" s="20" t="s">
        <v>597</v>
      </c>
    </row>
    <row r="120" spans="1:11" ht="30" customHeight="1" x14ac:dyDescent="0.25">
      <c r="A120" s="20" t="s">
        <v>152</v>
      </c>
      <c r="B120" s="20" t="s">
        <v>153</v>
      </c>
      <c r="C120" s="20" t="s">
        <v>692</v>
      </c>
      <c r="D120" s="20" t="s">
        <v>693</v>
      </c>
      <c r="E120" s="20" t="s">
        <v>689</v>
      </c>
      <c r="F120" s="20" t="s">
        <v>736</v>
      </c>
      <c r="G120" s="20" t="s">
        <v>78</v>
      </c>
      <c r="H120" s="20" t="s">
        <v>71</v>
      </c>
      <c r="I120" s="20" t="s">
        <v>72</v>
      </c>
      <c r="J120" s="20" t="s">
        <v>25</v>
      </c>
      <c r="K120" s="20" t="s">
        <v>597</v>
      </c>
    </row>
    <row r="121" spans="1:11" ht="30" customHeight="1" x14ac:dyDescent="0.25">
      <c r="A121" s="20" t="s">
        <v>152</v>
      </c>
      <c r="B121" s="20" t="s">
        <v>153</v>
      </c>
      <c r="C121" s="20" t="s">
        <v>609</v>
      </c>
      <c r="D121" s="20" t="s">
        <v>610</v>
      </c>
      <c r="E121" s="20" t="s">
        <v>595</v>
      </c>
      <c r="F121" s="20" t="s">
        <v>737</v>
      </c>
      <c r="G121" s="20" t="s">
        <v>78</v>
      </c>
      <c r="H121" s="20" t="s">
        <v>71</v>
      </c>
      <c r="I121" s="20" t="s">
        <v>72</v>
      </c>
      <c r="J121" s="20" t="s">
        <v>25</v>
      </c>
      <c r="K121" s="20" t="s">
        <v>597</v>
      </c>
    </row>
    <row r="122" spans="1:11" ht="30" customHeight="1" x14ac:dyDescent="0.25">
      <c r="A122" s="20" t="s">
        <v>155</v>
      </c>
      <c r="B122" s="20" t="s">
        <v>156</v>
      </c>
      <c r="C122" s="20" t="s">
        <v>679</v>
      </c>
      <c r="D122" s="20" t="s">
        <v>680</v>
      </c>
      <c r="E122" s="20" t="s">
        <v>681</v>
      </c>
      <c r="F122" s="20" t="s">
        <v>738</v>
      </c>
      <c r="G122" s="20" t="s">
        <v>94</v>
      </c>
      <c r="H122" s="20" t="s">
        <v>71</v>
      </c>
      <c r="I122" s="20" t="s">
        <v>72</v>
      </c>
      <c r="J122" s="20" t="s">
        <v>25</v>
      </c>
      <c r="K122" s="20" t="s">
        <v>597</v>
      </c>
    </row>
    <row r="123" spans="1:11" ht="30" customHeight="1" x14ac:dyDescent="0.25">
      <c r="A123" s="20" t="s">
        <v>155</v>
      </c>
      <c r="B123" s="20" t="s">
        <v>156</v>
      </c>
      <c r="C123" s="20" t="s">
        <v>683</v>
      </c>
      <c r="D123" s="20" t="s">
        <v>684</v>
      </c>
      <c r="E123" s="20" t="s">
        <v>685</v>
      </c>
      <c r="F123" s="20" t="s">
        <v>739</v>
      </c>
      <c r="G123" s="20" t="s">
        <v>94</v>
      </c>
      <c r="H123" s="20" t="s">
        <v>71</v>
      </c>
      <c r="I123" s="20" t="s">
        <v>72</v>
      </c>
      <c r="J123" s="20" t="s">
        <v>25</v>
      </c>
      <c r="K123" s="20" t="s">
        <v>597</v>
      </c>
    </row>
    <row r="124" spans="1:11" ht="30" customHeight="1" x14ac:dyDescent="0.25">
      <c r="A124" s="20" t="s">
        <v>155</v>
      </c>
      <c r="B124" s="20" t="s">
        <v>156</v>
      </c>
      <c r="C124" s="20" t="s">
        <v>687</v>
      </c>
      <c r="D124" s="20" t="s">
        <v>688</v>
      </c>
      <c r="E124" s="20" t="s">
        <v>689</v>
      </c>
      <c r="F124" s="20" t="s">
        <v>740</v>
      </c>
      <c r="G124" s="20" t="s">
        <v>94</v>
      </c>
      <c r="H124" s="20" t="s">
        <v>71</v>
      </c>
      <c r="I124" s="20" t="s">
        <v>72</v>
      </c>
      <c r="J124" s="20" t="s">
        <v>25</v>
      </c>
      <c r="K124" s="20" t="s">
        <v>597</v>
      </c>
    </row>
    <row r="125" spans="1:11" ht="30" customHeight="1" x14ac:dyDescent="0.25">
      <c r="A125" s="20" t="s">
        <v>155</v>
      </c>
      <c r="B125" s="20" t="s">
        <v>156</v>
      </c>
      <c r="C125" s="20" t="s">
        <v>601</v>
      </c>
      <c r="D125" s="20" t="s">
        <v>602</v>
      </c>
      <c r="E125" s="20" t="s">
        <v>603</v>
      </c>
      <c r="F125" s="20" t="s">
        <v>741</v>
      </c>
      <c r="G125" s="20" t="s">
        <v>94</v>
      </c>
      <c r="H125" s="20" t="s">
        <v>71</v>
      </c>
      <c r="I125" s="20" t="s">
        <v>72</v>
      </c>
      <c r="J125" s="20" t="s">
        <v>25</v>
      </c>
      <c r="K125" s="20" t="s">
        <v>597</v>
      </c>
    </row>
    <row r="126" spans="1:11" ht="30" customHeight="1" x14ac:dyDescent="0.25">
      <c r="A126" s="20" t="s">
        <v>155</v>
      </c>
      <c r="B126" s="20" t="s">
        <v>156</v>
      </c>
      <c r="C126" s="20" t="s">
        <v>692</v>
      </c>
      <c r="D126" s="20" t="s">
        <v>693</v>
      </c>
      <c r="E126" s="20" t="s">
        <v>689</v>
      </c>
      <c r="F126" s="20" t="s">
        <v>742</v>
      </c>
      <c r="G126" s="20" t="s">
        <v>94</v>
      </c>
      <c r="H126" s="20" t="s">
        <v>71</v>
      </c>
      <c r="I126" s="20" t="s">
        <v>72</v>
      </c>
      <c r="J126" s="20" t="s">
        <v>25</v>
      </c>
      <c r="K126" s="20" t="s">
        <v>597</v>
      </c>
    </row>
    <row r="127" spans="1:11" ht="30" customHeight="1" x14ac:dyDescent="0.25">
      <c r="A127" s="20" t="s">
        <v>155</v>
      </c>
      <c r="B127" s="20" t="s">
        <v>156</v>
      </c>
      <c r="C127" s="20" t="s">
        <v>609</v>
      </c>
      <c r="D127" s="20" t="s">
        <v>610</v>
      </c>
      <c r="E127" s="20" t="s">
        <v>595</v>
      </c>
      <c r="F127" s="20" t="s">
        <v>743</v>
      </c>
      <c r="G127" s="20" t="s">
        <v>94</v>
      </c>
      <c r="H127" s="20" t="s">
        <v>71</v>
      </c>
      <c r="I127" s="20" t="s">
        <v>72</v>
      </c>
      <c r="J127" s="20" t="s">
        <v>25</v>
      </c>
      <c r="K127" s="20" t="s">
        <v>597</v>
      </c>
    </row>
    <row r="128" spans="1:11" ht="30" customHeight="1" x14ac:dyDescent="0.25">
      <c r="A128" s="20" t="s">
        <v>158</v>
      </c>
      <c r="B128" s="20" t="s">
        <v>159</v>
      </c>
      <c r="C128" s="20" t="s">
        <v>679</v>
      </c>
      <c r="D128" s="20" t="s">
        <v>680</v>
      </c>
      <c r="E128" s="20" t="s">
        <v>681</v>
      </c>
      <c r="F128" s="20" t="s">
        <v>744</v>
      </c>
      <c r="G128" s="20" t="s">
        <v>71</v>
      </c>
      <c r="H128" s="20" t="s">
        <v>71</v>
      </c>
      <c r="I128" s="20" t="s">
        <v>72</v>
      </c>
      <c r="J128" s="20" t="s">
        <v>25</v>
      </c>
      <c r="K128" s="20" t="s">
        <v>597</v>
      </c>
    </row>
    <row r="129" spans="1:11" ht="30" customHeight="1" x14ac:dyDescent="0.25">
      <c r="A129" s="20" t="s">
        <v>158</v>
      </c>
      <c r="B129" s="20" t="s">
        <v>159</v>
      </c>
      <c r="C129" s="20" t="s">
        <v>683</v>
      </c>
      <c r="D129" s="20" t="s">
        <v>684</v>
      </c>
      <c r="E129" s="20" t="s">
        <v>685</v>
      </c>
      <c r="F129" s="20" t="s">
        <v>745</v>
      </c>
      <c r="G129" s="20" t="s">
        <v>71</v>
      </c>
      <c r="H129" s="20" t="s">
        <v>71</v>
      </c>
      <c r="I129" s="20" t="s">
        <v>72</v>
      </c>
      <c r="J129" s="20" t="s">
        <v>25</v>
      </c>
      <c r="K129" s="20" t="s">
        <v>597</v>
      </c>
    </row>
    <row r="130" spans="1:11" ht="30" customHeight="1" x14ac:dyDescent="0.25">
      <c r="A130" s="20" t="s">
        <v>158</v>
      </c>
      <c r="B130" s="20" t="s">
        <v>159</v>
      </c>
      <c r="C130" s="20" t="s">
        <v>687</v>
      </c>
      <c r="D130" s="20" t="s">
        <v>688</v>
      </c>
      <c r="E130" s="20" t="s">
        <v>689</v>
      </c>
      <c r="F130" s="20" t="s">
        <v>746</v>
      </c>
      <c r="G130" s="20" t="s">
        <v>71</v>
      </c>
      <c r="H130" s="20" t="s">
        <v>71</v>
      </c>
      <c r="I130" s="20" t="s">
        <v>72</v>
      </c>
      <c r="J130" s="20" t="s">
        <v>25</v>
      </c>
      <c r="K130" s="20" t="s">
        <v>597</v>
      </c>
    </row>
    <row r="131" spans="1:11" ht="30" customHeight="1" x14ac:dyDescent="0.25">
      <c r="A131" s="20" t="s">
        <v>158</v>
      </c>
      <c r="B131" s="20" t="s">
        <v>159</v>
      </c>
      <c r="C131" s="20" t="s">
        <v>601</v>
      </c>
      <c r="D131" s="20" t="s">
        <v>602</v>
      </c>
      <c r="E131" s="20" t="s">
        <v>603</v>
      </c>
      <c r="F131" s="20" t="s">
        <v>747</v>
      </c>
      <c r="G131" s="20" t="s">
        <v>71</v>
      </c>
      <c r="H131" s="20" t="s">
        <v>71</v>
      </c>
      <c r="I131" s="20" t="s">
        <v>72</v>
      </c>
      <c r="J131" s="20" t="s">
        <v>25</v>
      </c>
      <c r="K131" s="20" t="s">
        <v>597</v>
      </c>
    </row>
    <row r="132" spans="1:11" ht="30" customHeight="1" x14ac:dyDescent="0.25">
      <c r="A132" s="20" t="s">
        <v>158</v>
      </c>
      <c r="B132" s="20" t="s">
        <v>159</v>
      </c>
      <c r="C132" s="20" t="s">
        <v>692</v>
      </c>
      <c r="D132" s="20" t="s">
        <v>693</v>
      </c>
      <c r="E132" s="20" t="s">
        <v>689</v>
      </c>
      <c r="F132" s="20" t="s">
        <v>748</v>
      </c>
      <c r="G132" s="20" t="s">
        <v>71</v>
      </c>
      <c r="H132" s="20" t="s">
        <v>71</v>
      </c>
      <c r="I132" s="20" t="s">
        <v>72</v>
      </c>
      <c r="J132" s="20" t="s">
        <v>25</v>
      </c>
      <c r="K132" s="20" t="s">
        <v>597</v>
      </c>
    </row>
    <row r="133" spans="1:11" ht="30" customHeight="1" x14ac:dyDescent="0.25">
      <c r="A133" s="20" t="s">
        <v>158</v>
      </c>
      <c r="B133" s="20" t="s">
        <v>159</v>
      </c>
      <c r="C133" s="20" t="s">
        <v>609</v>
      </c>
      <c r="D133" s="20" t="s">
        <v>610</v>
      </c>
      <c r="E133" s="20" t="s">
        <v>595</v>
      </c>
      <c r="F133" s="20" t="s">
        <v>749</v>
      </c>
      <c r="G133" s="20" t="s">
        <v>71</v>
      </c>
      <c r="H133" s="20" t="s">
        <v>71</v>
      </c>
      <c r="I133" s="20" t="s">
        <v>72</v>
      </c>
      <c r="J133" s="20" t="s">
        <v>25</v>
      </c>
      <c r="K133" s="20" t="s">
        <v>597</v>
      </c>
    </row>
    <row r="134" spans="1:11" ht="30" customHeight="1" x14ac:dyDescent="0.25">
      <c r="A134" s="20" t="s">
        <v>163</v>
      </c>
      <c r="B134" s="20" t="s">
        <v>164</v>
      </c>
      <c r="C134" s="20" t="s">
        <v>679</v>
      </c>
      <c r="D134" s="20" t="s">
        <v>680</v>
      </c>
      <c r="E134" s="20" t="s">
        <v>681</v>
      </c>
      <c r="F134" s="20" t="s">
        <v>750</v>
      </c>
      <c r="G134" s="20" t="s">
        <v>71</v>
      </c>
      <c r="H134" s="20" t="s">
        <v>71</v>
      </c>
      <c r="I134" s="20" t="s">
        <v>72</v>
      </c>
      <c r="J134" s="20" t="s">
        <v>25</v>
      </c>
      <c r="K134" s="20" t="s">
        <v>597</v>
      </c>
    </row>
    <row r="135" spans="1:11" ht="30" customHeight="1" x14ac:dyDescent="0.25">
      <c r="A135" s="20" t="s">
        <v>163</v>
      </c>
      <c r="B135" s="20" t="s">
        <v>164</v>
      </c>
      <c r="C135" s="20" t="s">
        <v>683</v>
      </c>
      <c r="D135" s="20" t="s">
        <v>684</v>
      </c>
      <c r="E135" s="20" t="s">
        <v>685</v>
      </c>
      <c r="F135" s="20" t="s">
        <v>751</v>
      </c>
      <c r="G135" s="20" t="s">
        <v>71</v>
      </c>
      <c r="H135" s="20" t="s">
        <v>71</v>
      </c>
      <c r="I135" s="20" t="s">
        <v>72</v>
      </c>
      <c r="J135" s="20" t="s">
        <v>25</v>
      </c>
      <c r="K135" s="20" t="s">
        <v>597</v>
      </c>
    </row>
    <row r="136" spans="1:11" ht="30" customHeight="1" x14ac:dyDescent="0.25">
      <c r="A136" s="20" t="s">
        <v>163</v>
      </c>
      <c r="B136" s="20" t="s">
        <v>164</v>
      </c>
      <c r="C136" s="20" t="s">
        <v>687</v>
      </c>
      <c r="D136" s="20" t="s">
        <v>688</v>
      </c>
      <c r="E136" s="20" t="s">
        <v>689</v>
      </c>
      <c r="F136" s="20" t="s">
        <v>752</v>
      </c>
      <c r="G136" s="20" t="s">
        <v>71</v>
      </c>
      <c r="H136" s="20" t="s">
        <v>71</v>
      </c>
      <c r="I136" s="20" t="s">
        <v>72</v>
      </c>
      <c r="J136" s="20" t="s">
        <v>25</v>
      </c>
      <c r="K136" s="20" t="s">
        <v>597</v>
      </c>
    </row>
    <row r="137" spans="1:11" ht="30" customHeight="1" x14ac:dyDescent="0.25">
      <c r="A137" s="20" t="s">
        <v>163</v>
      </c>
      <c r="B137" s="20" t="s">
        <v>164</v>
      </c>
      <c r="C137" s="20" t="s">
        <v>601</v>
      </c>
      <c r="D137" s="20" t="s">
        <v>602</v>
      </c>
      <c r="E137" s="20" t="s">
        <v>603</v>
      </c>
      <c r="F137" s="20" t="s">
        <v>753</v>
      </c>
      <c r="G137" s="20" t="s">
        <v>71</v>
      </c>
      <c r="H137" s="20" t="s">
        <v>71</v>
      </c>
      <c r="I137" s="20" t="s">
        <v>72</v>
      </c>
      <c r="J137" s="20" t="s">
        <v>25</v>
      </c>
      <c r="K137" s="20" t="s">
        <v>597</v>
      </c>
    </row>
    <row r="138" spans="1:11" ht="30" customHeight="1" x14ac:dyDescent="0.25">
      <c r="A138" s="20" t="s">
        <v>163</v>
      </c>
      <c r="B138" s="20" t="s">
        <v>164</v>
      </c>
      <c r="C138" s="20" t="s">
        <v>692</v>
      </c>
      <c r="D138" s="20" t="s">
        <v>693</v>
      </c>
      <c r="E138" s="20" t="s">
        <v>689</v>
      </c>
      <c r="F138" s="20" t="s">
        <v>754</v>
      </c>
      <c r="G138" s="20" t="s">
        <v>71</v>
      </c>
      <c r="H138" s="20" t="s">
        <v>71</v>
      </c>
      <c r="I138" s="20" t="s">
        <v>72</v>
      </c>
      <c r="J138" s="20" t="s">
        <v>25</v>
      </c>
      <c r="K138" s="20" t="s">
        <v>597</v>
      </c>
    </row>
    <row r="139" spans="1:11" ht="30" customHeight="1" x14ac:dyDescent="0.25">
      <c r="A139" s="20" t="s">
        <v>163</v>
      </c>
      <c r="B139" s="20" t="s">
        <v>164</v>
      </c>
      <c r="C139" s="20" t="s">
        <v>609</v>
      </c>
      <c r="D139" s="20" t="s">
        <v>610</v>
      </c>
      <c r="E139" s="20" t="s">
        <v>595</v>
      </c>
      <c r="F139" s="20" t="s">
        <v>755</v>
      </c>
      <c r="G139" s="20" t="s">
        <v>71</v>
      </c>
      <c r="H139" s="20" t="s">
        <v>71</v>
      </c>
      <c r="I139" s="20" t="s">
        <v>72</v>
      </c>
      <c r="J139" s="20" t="s">
        <v>25</v>
      </c>
      <c r="K139" s="20" t="s">
        <v>597</v>
      </c>
    </row>
    <row r="140" spans="1:11" ht="30" customHeight="1" x14ac:dyDescent="0.25">
      <c r="A140" s="20" t="s">
        <v>167</v>
      </c>
      <c r="B140" s="20" t="s">
        <v>168</v>
      </c>
      <c r="C140" s="20" t="s">
        <v>679</v>
      </c>
      <c r="D140" s="20" t="s">
        <v>680</v>
      </c>
      <c r="E140" s="20" t="s">
        <v>681</v>
      </c>
      <c r="F140" s="20" t="s">
        <v>756</v>
      </c>
      <c r="G140" s="20" t="s">
        <v>78</v>
      </c>
      <c r="H140" s="20" t="s">
        <v>71</v>
      </c>
      <c r="I140" s="20" t="s">
        <v>72</v>
      </c>
      <c r="J140" s="20" t="s">
        <v>25</v>
      </c>
      <c r="K140" s="20" t="s">
        <v>597</v>
      </c>
    </row>
    <row r="141" spans="1:11" ht="30" customHeight="1" x14ac:dyDescent="0.25">
      <c r="A141" s="20" t="s">
        <v>167</v>
      </c>
      <c r="B141" s="20" t="s">
        <v>168</v>
      </c>
      <c r="C141" s="20" t="s">
        <v>683</v>
      </c>
      <c r="D141" s="20" t="s">
        <v>684</v>
      </c>
      <c r="E141" s="20" t="s">
        <v>685</v>
      </c>
      <c r="F141" s="20" t="s">
        <v>757</v>
      </c>
      <c r="G141" s="20" t="s">
        <v>78</v>
      </c>
      <c r="H141" s="20" t="s">
        <v>71</v>
      </c>
      <c r="I141" s="20" t="s">
        <v>72</v>
      </c>
      <c r="J141" s="20" t="s">
        <v>25</v>
      </c>
      <c r="K141" s="20" t="s">
        <v>597</v>
      </c>
    </row>
    <row r="142" spans="1:11" ht="30" customHeight="1" x14ac:dyDescent="0.25">
      <c r="A142" s="20" t="s">
        <v>167</v>
      </c>
      <c r="B142" s="20" t="s">
        <v>168</v>
      </c>
      <c r="C142" s="20" t="s">
        <v>687</v>
      </c>
      <c r="D142" s="20" t="s">
        <v>688</v>
      </c>
      <c r="E142" s="20" t="s">
        <v>689</v>
      </c>
      <c r="F142" s="20" t="s">
        <v>758</v>
      </c>
      <c r="G142" s="20" t="s">
        <v>78</v>
      </c>
      <c r="H142" s="20" t="s">
        <v>71</v>
      </c>
      <c r="I142" s="20" t="s">
        <v>72</v>
      </c>
      <c r="J142" s="20" t="s">
        <v>25</v>
      </c>
      <c r="K142" s="20" t="s">
        <v>597</v>
      </c>
    </row>
    <row r="143" spans="1:11" ht="30" customHeight="1" x14ac:dyDescent="0.25">
      <c r="A143" s="20" t="s">
        <v>167</v>
      </c>
      <c r="B143" s="20" t="s">
        <v>168</v>
      </c>
      <c r="C143" s="20" t="s">
        <v>601</v>
      </c>
      <c r="D143" s="20" t="s">
        <v>602</v>
      </c>
      <c r="E143" s="20" t="s">
        <v>603</v>
      </c>
      <c r="F143" s="20" t="s">
        <v>759</v>
      </c>
      <c r="G143" s="20" t="s">
        <v>78</v>
      </c>
      <c r="H143" s="20" t="s">
        <v>71</v>
      </c>
      <c r="I143" s="20" t="s">
        <v>72</v>
      </c>
      <c r="J143" s="20" t="s">
        <v>25</v>
      </c>
      <c r="K143" s="20" t="s">
        <v>597</v>
      </c>
    </row>
    <row r="144" spans="1:11" ht="30" customHeight="1" x14ac:dyDescent="0.25">
      <c r="A144" s="20" t="s">
        <v>167</v>
      </c>
      <c r="B144" s="20" t="s">
        <v>168</v>
      </c>
      <c r="C144" s="20" t="s">
        <v>692</v>
      </c>
      <c r="D144" s="20" t="s">
        <v>693</v>
      </c>
      <c r="E144" s="20" t="s">
        <v>689</v>
      </c>
      <c r="F144" s="20" t="s">
        <v>760</v>
      </c>
      <c r="G144" s="20" t="s">
        <v>78</v>
      </c>
      <c r="H144" s="20" t="s">
        <v>71</v>
      </c>
      <c r="I144" s="20" t="s">
        <v>72</v>
      </c>
      <c r="J144" s="20" t="s">
        <v>25</v>
      </c>
      <c r="K144" s="20" t="s">
        <v>597</v>
      </c>
    </row>
    <row r="145" spans="1:11" ht="30" customHeight="1" x14ac:dyDescent="0.25">
      <c r="A145" s="20" t="s">
        <v>167</v>
      </c>
      <c r="B145" s="20" t="s">
        <v>168</v>
      </c>
      <c r="C145" s="20" t="s">
        <v>609</v>
      </c>
      <c r="D145" s="20" t="s">
        <v>610</v>
      </c>
      <c r="E145" s="20" t="s">
        <v>595</v>
      </c>
      <c r="F145" s="20" t="s">
        <v>761</v>
      </c>
      <c r="G145" s="20" t="s">
        <v>78</v>
      </c>
      <c r="H145" s="20" t="s">
        <v>71</v>
      </c>
      <c r="I145" s="20" t="s">
        <v>72</v>
      </c>
      <c r="J145" s="20" t="s">
        <v>25</v>
      </c>
      <c r="K145" s="20" t="s">
        <v>597</v>
      </c>
    </row>
    <row r="146" spans="1:11" ht="30" customHeight="1" x14ac:dyDescent="0.25">
      <c r="A146" s="20" t="s">
        <v>171</v>
      </c>
      <c r="B146" s="20" t="s">
        <v>172</v>
      </c>
      <c r="C146" s="20" t="s">
        <v>679</v>
      </c>
      <c r="D146" s="20" t="s">
        <v>680</v>
      </c>
      <c r="E146" s="20" t="s">
        <v>681</v>
      </c>
      <c r="F146" s="20" t="s">
        <v>762</v>
      </c>
      <c r="G146" s="20" t="s">
        <v>71</v>
      </c>
      <c r="H146" s="20" t="s">
        <v>71</v>
      </c>
      <c r="I146" s="20" t="s">
        <v>72</v>
      </c>
      <c r="J146" s="20" t="s">
        <v>25</v>
      </c>
      <c r="K146" s="20" t="s">
        <v>597</v>
      </c>
    </row>
    <row r="147" spans="1:11" ht="30" customHeight="1" x14ac:dyDescent="0.25">
      <c r="A147" s="20" t="s">
        <v>171</v>
      </c>
      <c r="B147" s="20" t="s">
        <v>172</v>
      </c>
      <c r="C147" s="20" t="s">
        <v>683</v>
      </c>
      <c r="D147" s="20" t="s">
        <v>684</v>
      </c>
      <c r="E147" s="20" t="s">
        <v>685</v>
      </c>
      <c r="F147" s="20" t="s">
        <v>763</v>
      </c>
      <c r="G147" s="20" t="s">
        <v>71</v>
      </c>
      <c r="H147" s="20" t="s">
        <v>71</v>
      </c>
      <c r="I147" s="20" t="s">
        <v>72</v>
      </c>
      <c r="J147" s="20" t="s">
        <v>25</v>
      </c>
      <c r="K147" s="20" t="s">
        <v>597</v>
      </c>
    </row>
    <row r="148" spans="1:11" ht="30" customHeight="1" x14ac:dyDescent="0.25">
      <c r="A148" s="20" t="s">
        <v>171</v>
      </c>
      <c r="B148" s="20" t="s">
        <v>172</v>
      </c>
      <c r="C148" s="20" t="s">
        <v>687</v>
      </c>
      <c r="D148" s="20" t="s">
        <v>688</v>
      </c>
      <c r="E148" s="20" t="s">
        <v>689</v>
      </c>
      <c r="F148" s="20" t="s">
        <v>764</v>
      </c>
      <c r="G148" s="20" t="s">
        <v>71</v>
      </c>
      <c r="H148" s="20" t="s">
        <v>71</v>
      </c>
      <c r="I148" s="20" t="s">
        <v>72</v>
      </c>
      <c r="J148" s="20" t="s">
        <v>25</v>
      </c>
      <c r="K148" s="20" t="s">
        <v>597</v>
      </c>
    </row>
    <row r="149" spans="1:11" ht="30" customHeight="1" x14ac:dyDescent="0.25">
      <c r="A149" s="20" t="s">
        <v>171</v>
      </c>
      <c r="B149" s="20" t="s">
        <v>172</v>
      </c>
      <c r="C149" s="20" t="s">
        <v>601</v>
      </c>
      <c r="D149" s="20" t="s">
        <v>602</v>
      </c>
      <c r="E149" s="20" t="s">
        <v>603</v>
      </c>
      <c r="F149" s="20" t="s">
        <v>765</v>
      </c>
      <c r="G149" s="20" t="s">
        <v>71</v>
      </c>
      <c r="H149" s="20" t="s">
        <v>71</v>
      </c>
      <c r="I149" s="20" t="s">
        <v>72</v>
      </c>
      <c r="J149" s="20" t="s">
        <v>25</v>
      </c>
      <c r="K149" s="20" t="s">
        <v>597</v>
      </c>
    </row>
    <row r="150" spans="1:11" ht="30" customHeight="1" x14ac:dyDescent="0.25">
      <c r="A150" s="20" t="s">
        <v>171</v>
      </c>
      <c r="B150" s="20" t="s">
        <v>172</v>
      </c>
      <c r="C150" s="20" t="s">
        <v>692</v>
      </c>
      <c r="D150" s="20" t="s">
        <v>693</v>
      </c>
      <c r="E150" s="20" t="s">
        <v>689</v>
      </c>
      <c r="F150" s="20" t="s">
        <v>766</v>
      </c>
      <c r="G150" s="20" t="s">
        <v>71</v>
      </c>
      <c r="H150" s="20" t="s">
        <v>71</v>
      </c>
      <c r="I150" s="20" t="s">
        <v>72</v>
      </c>
      <c r="J150" s="20" t="s">
        <v>25</v>
      </c>
      <c r="K150" s="20" t="s">
        <v>597</v>
      </c>
    </row>
    <row r="151" spans="1:11" ht="30" customHeight="1" x14ac:dyDescent="0.25">
      <c r="A151" s="20" t="s">
        <v>171</v>
      </c>
      <c r="B151" s="20" t="s">
        <v>172</v>
      </c>
      <c r="C151" s="20" t="s">
        <v>609</v>
      </c>
      <c r="D151" s="20" t="s">
        <v>610</v>
      </c>
      <c r="E151" s="20" t="s">
        <v>595</v>
      </c>
      <c r="F151" s="20" t="s">
        <v>767</v>
      </c>
      <c r="G151" s="20" t="s">
        <v>71</v>
      </c>
      <c r="H151" s="20" t="s">
        <v>71</v>
      </c>
      <c r="I151" s="20" t="s">
        <v>72</v>
      </c>
      <c r="J151" s="20" t="s">
        <v>25</v>
      </c>
      <c r="K151" s="20" t="s">
        <v>597</v>
      </c>
    </row>
    <row r="152" spans="1:11" ht="30" customHeight="1" x14ac:dyDescent="0.25">
      <c r="A152" s="20" t="s">
        <v>174</v>
      </c>
      <c r="B152" s="20" t="s">
        <v>175</v>
      </c>
      <c r="C152" s="20" t="s">
        <v>679</v>
      </c>
      <c r="D152" s="20" t="s">
        <v>680</v>
      </c>
      <c r="E152" s="20" t="s">
        <v>681</v>
      </c>
      <c r="F152" s="20" t="s">
        <v>768</v>
      </c>
      <c r="G152" s="20" t="s">
        <v>71</v>
      </c>
      <c r="H152" s="20" t="s">
        <v>71</v>
      </c>
      <c r="I152" s="20" t="s">
        <v>72</v>
      </c>
      <c r="J152" s="20" t="s">
        <v>25</v>
      </c>
      <c r="K152" s="20" t="s">
        <v>597</v>
      </c>
    </row>
    <row r="153" spans="1:11" ht="30" customHeight="1" x14ac:dyDescent="0.25">
      <c r="A153" s="20" t="s">
        <v>174</v>
      </c>
      <c r="B153" s="20" t="s">
        <v>175</v>
      </c>
      <c r="C153" s="20" t="s">
        <v>683</v>
      </c>
      <c r="D153" s="20" t="s">
        <v>684</v>
      </c>
      <c r="E153" s="20" t="s">
        <v>685</v>
      </c>
      <c r="F153" s="20" t="s">
        <v>769</v>
      </c>
      <c r="G153" s="20" t="s">
        <v>71</v>
      </c>
      <c r="H153" s="20" t="s">
        <v>71</v>
      </c>
      <c r="I153" s="20" t="s">
        <v>72</v>
      </c>
      <c r="J153" s="20" t="s">
        <v>25</v>
      </c>
      <c r="K153" s="20" t="s">
        <v>597</v>
      </c>
    </row>
    <row r="154" spans="1:11" ht="30" customHeight="1" x14ac:dyDescent="0.25">
      <c r="A154" s="20" t="s">
        <v>174</v>
      </c>
      <c r="B154" s="20" t="s">
        <v>175</v>
      </c>
      <c r="C154" s="20" t="s">
        <v>687</v>
      </c>
      <c r="D154" s="20" t="s">
        <v>688</v>
      </c>
      <c r="E154" s="20" t="s">
        <v>689</v>
      </c>
      <c r="F154" s="20" t="s">
        <v>770</v>
      </c>
      <c r="G154" s="20" t="s">
        <v>71</v>
      </c>
      <c r="H154" s="20" t="s">
        <v>71</v>
      </c>
      <c r="I154" s="20" t="s">
        <v>72</v>
      </c>
      <c r="J154" s="20" t="s">
        <v>25</v>
      </c>
      <c r="K154" s="20" t="s">
        <v>597</v>
      </c>
    </row>
    <row r="155" spans="1:11" ht="30" customHeight="1" x14ac:dyDescent="0.25">
      <c r="A155" s="20" t="s">
        <v>174</v>
      </c>
      <c r="B155" s="20" t="s">
        <v>175</v>
      </c>
      <c r="C155" s="20" t="s">
        <v>601</v>
      </c>
      <c r="D155" s="20" t="s">
        <v>602</v>
      </c>
      <c r="E155" s="20" t="s">
        <v>603</v>
      </c>
      <c r="F155" s="20" t="s">
        <v>771</v>
      </c>
      <c r="G155" s="20" t="s">
        <v>71</v>
      </c>
      <c r="H155" s="20" t="s">
        <v>71</v>
      </c>
      <c r="I155" s="20" t="s">
        <v>72</v>
      </c>
      <c r="J155" s="20" t="s">
        <v>25</v>
      </c>
      <c r="K155" s="20" t="s">
        <v>597</v>
      </c>
    </row>
    <row r="156" spans="1:11" ht="30" customHeight="1" x14ac:dyDescent="0.25">
      <c r="A156" s="20" t="s">
        <v>174</v>
      </c>
      <c r="B156" s="20" t="s">
        <v>175</v>
      </c>
      <c r="C156" s="20" t="s">
        <v>692</v>
      </c>
      <c r="D156" s="20" t="s">
        <v>693</v>
      </c>
      <c r="E156" s="20" t="s">
        <v>689</v>
      </c>
      <c r="F156" s="20" t="s">
        <v>772</v>
      </c>
      <c r="G156" s="20" t="s">
        <v>71</v>
      </c>
      <c r="H156" s="20" t="s">
        <v>71</v>
      </c>
      <c r="I156" s="20" t="s">
        <v>72</v>
      </c>
      <c r="J156" s="20" t="s">
        <v>25</v>
      </c>
      <c r="K156" s="20" t="s">
        <v>597</v>
      </c>
    </row>
    <row r="157" spans="1:11" ht="30" customHeight="1" x14ac:dyDescent="0.25">
      <c r="A157" s="20" t="s">
        <v>174</v>
      </c>
      <c r="B157" s="20" t="s">
        <v>175</v>
      </c>
      <c r="C157" s="20" t="s">
        <v>609</v>
      </c>
      <c r="D157" s="20" t="s">
        <v>610</v>
      </c>
      <c r="E157" s="20" t="s">
        <v>595</v>
      </c>
      <c r="F157" s="20" t="s">
        <v>773</v>
      </c>
      <c r="G157" s="20" t="s">
        <v>71</v>
      </c>
      <c r="H157" s="20" t="s">
        <v>71</v>
      </c>
      <c r="I157" s="20" t="s">
        <v>72</v>
      </c>
      <c r="J157" s="20" t="s">
        <v>25</v>
      </c>
      <c r="K157" s="20" t="s">
        <v>597</v>
      </c>
    </row>
    <row r="158" spans="1:11" ht="30" customHeight="1" x14ac:dyDescent="0.25">
      <c r="A158" s="20" t="s">
        <v>178</v>
      </c>
      <c r="B158" s="20" t="s">
        <v>179</v>
      </c>
      <c r="C158" s="20" t="s">
        <v>679</v>
      </c>
      <c r="D158" s="20" t="s">
        <v>680</v>
      </c>
      <c r="E158" s="20" t="s">
        <v>681</v>
      </c>
      <c r="F158" s="20" t="s">
        <v>774</v>
      </c>
      <c r="G158" s="20" t="s">
        <v>94</v>
      </c>
      <c r="H158" s="20" t="s">
        <v>71</v>
      </c>
      <c r="I158" s="20" t="s">
        <v>72</v>
      </c>
      <c r="J158" s="20" t="s">
        <v>25</v>
      </c>
      <c r="K158" s="20" t="s">
        <v>597</v>
      </c>
    </row>
    <row r="159" spans="1:11" ht="30" customHeight="1" x14ac:dyDescent="0.25">
      <c r="A159" s="20" t="s">
        <v>178</v>
      </c>
      <c r="B159" s="20" t="s">
        <v>179</v>
      </c>
      <c r="C159" s="20" t="s">
        <v>683</v>
      </c>
      <c r="D159" s="20" t="s">
        <v>684</v>
      </c>
      <c r="E159" s="20" t="s">
        <v>685</v>
      </c>
      <c r="F159" s="20" t="s">
        <v>775</v>
      </c>
      <c r="G159" s="20" t="s">
        <v>94</v>
      </c>
      <c r="H159" s="20" t="s">
        <v>71</v>
      </c>
      <c r="I159" s="20" t="s">
        <v>72</v>
      </c>
      <c r="J159" s="20" t="s">
        <v>25</v>
      </c>
      <c r="K159" s="20" t="s">
        <v>597</v>
      </c>
    </row>
    <row r="160" spans="1:11" ht="30" customHeight="1" x14ac:dyDescent="0.25">
      <c r="A160" s="20" t="s">
        <v>178</v>
      </c>
      <c r="B160" s="20" t="s">
        <v>179</v>
      </c>
      <c r="C160" s="20" t="s">
        <v>687</v>
      </c>
      <c r="D160" s="20" t="s">
        <v>688</v>
      </c>
      <c r="E160" s="20" t="s">
        <v>689</v>
      </c>
      <c r="F160" s="20" t="s">
        <v>776</v>
      </c>
      <c r="G160" s="20" t="s">
        <v>94</v>
      </c>
      <c r="H160" s="20" t="s">
        <v>71</v>
      </c>
      <c r="I160" s="20" t="s">
        <v>72</v>
      </c>
      <c r="J160" s="20" t="s">
        <v>25</v>
      </c>
      <c r="K160" s="20" t="s">
        <v>597</v>
      </c>
    </row>
    <row r="161" spans="1:11" ht="30" customHeight="1" x14ac:dyDescent="0.25">
      <c r="A161" s="20" t="s">
        <v>178</v>
      </c>
      <c r="B161" s="20" t="s">
        <v>179</v>
      </c>
      <c r="C161" s="20" t="s">
        <v>601</v>
      </c>
      <c r="D161" s="20" t="s">
        <v>602</v>
      </c>
      <c r="E161" s="20" t="s">
        <v>603</v>
      </c>
      <c r="F161" s="20" t="s">
        <v>777</v>
      </c>
      <c r="G161" s="20" t="s">
        <v>94</v>
      </c>
      <c r="H161" s="20" t="s">
        <v>71</v>
      </c>
      <c r="I161" s="20" t="s">
        <v>72</v>
      </c>
      <c r="J161" s="20" t="s">
        <v>25</v>
      </c>
      <c r="K161" s="20" t="s">
        <v>597</v>
      </c>
    </row>
    <row r="162" spans="1:11" ht="30" customHeight="1" x14ac:dyDescent="0.25">
      <c r="A162" s="20" t="s">
        <v>178</v>
      </c>
      <c r="B162" s="20" t="s">
        <v>179</v>
      </c>
      <c r="C162" s="20" t="s">
        <v>692</v>
      </c>
      <c r="D162" s="20" t="s">
        <v>693</v>
      </c>
      <c r="E162" s="20" t="s">
        <v>689</v>
      </c>
      <c r="F162" s="20" t="s">
        <v>778</v>
      </c>
      <c r="G162" s="20" t="s">
        <v>94</v>
      </c>
      <c r="H162" s="20" t="s">
        <v>71</v>
      </c>
      <c r="I162" s="20" t="s">
        <v>72</v>
      </c>
      <c r="J162" s="20" t="s">
        <v>25</v>
      </c>
      <c r="K162" s="20" t="s">
        <v>597</v>
      </c>
    </row>
    <row r="163" spans="1:11" ht="30" customHeight="1" x14ac:dyDescent="0.25">
      <c r="A163" s="20" t="s">
        <v>178</v>
      </c>
      <c r="B163" s="20" t="s">
        <v>179</v>
      </c>
      <c r="C163" s="20" t="s">
        <v>609</v>
      </c>
      <c r="D163" s="20" t="s">
        <v>610</v>
      </c>
      <c r="E163" s="20" t="s">
        <v>595</v>
      </c>
      <c r="F163" s="20" t="s">
        <v>779</v>
      </c>
      <c r="G163" s="20" t="s">
        <v>94</v>
      </c>
      <c r="H163" s="20" t="s">
        <v>71</v>
      </c>
      <c r="I163" s="20" t="s">
        <v>72</v>
      </c>
      <c r="J163" s="20" t="s">
        <v>25</v>
      </c>
      <c r="K163" s="20" t="s">
        <v>597</v>
      </c>
    </row>
    <row r="164" spans="1:11" ht="30" customHeight="1" x14ac:dyDescent="0.25">
      <c r="A164" s="20" t="s">
        <v>182</v>
      </c>
      <c r="B164" s="20" t="s">
        <v>183</v>
      </c>
      <c r="C164" s="20" t="s">
        <v>679</v>
      </c>
      <c r="D164" s="20" t="s">
        <v>680</v>
      </c>
      <c r="E164" s="20" t="s">
        <v>681</v>
      </c>
      <c r="F164" s="20" t="s">
        <v>780</v>
      </c>
      <c r="G164" s="20" t="s">
        <v>71</v>
      </c>
      <c r="H164" s="20" t="s">
        <v>71</v>
      </c>
      <c r="I164" s="20" t="s">
        <v>72</v>
      </c>
      <c r="J164" s="20" t="s">
        <v>25</v>
      </c>
      <c r="K164" s="20" t="s">
        <v>597</v>
      </c>
    </row>
    <row r="165" spans="1:11" ht="30" customHeight="1" x14ac:dyDescent="0.25">
      <c r="A165" s="20" t="s">
        <v>182</v>
      </c>
      <c r="B165" s="20" t="s">
        <v>183</v>
      </c>
      <c r="C165" s="20" t="s">
        <v>683</v>
      </c>
      <c r="D165" s="20" t="s">
        <v>684</v>
      </c>
      <c r="E165" s="20" t="s">
        <v>685</v>
      </c>
      <c r="F165" s="20" t="s">
        <v>781</v>
      </c>
      <c r="G165" s="20" t="s">
        <v>71</v>
      </c>
      <c r="H165" s="20" t="s">
        <v>71</v>
      </c>
      <c r="I165" s="20" t="s">
        <v>72</v>
      </c>
      <c r="J165" s="20" t="s">
        <v>25</v>
      </c>
      <c r="K165" s="20" t="s">
        <v>597</v>
      </c>
    </row>
    <row r="166" spans="1:11" ht="30" customHeight="1" x14ac:dyDescent="0.25">
      <c r="A166" s="20" t="s">
        <v>182</v>
      </c>
      <c r="B166" s="20" t="s">
        <v>183</v>
      </c>
      <c r="C166" s="20" t="s">
        <v>687</v>
      </c>
      <c r="D166" s="20" t="s">
        <v>688</v>
      </c>
      <c r="E166" s="20" t="s">
        <v>689</v>
      </c>
      <c r="F166" s="20" t="s">
        <v>782</v>
      </c>
      <c r="G166" s="20" t="s">
        <v>71</v>
      </c>
      <c r="H166" s="20" t="s">
        <v>71</v>
      </c>
      <c r="I166" s="20" t="s">
        <v>72</v>
      </c>
      <c r="J166" s="20" t="s">
        <v>25</v>
      </c>
      <c r="K166" s="20" t="s">
        <v>597</v>
      </c>
    </row>
    <row r="167" spans="1:11" ht="30" customHeight="1" x14ac:dyDescent="0.25">
      <c r="A167" s="20" t="s">
        <v>182</v>
      </c>
      <c r="B167" s="20" t="s">
        <v>183</v>
      </c>
      <c r="C167" s="20" t="s">
        <v>601</v>
      </c>
      <c r="D167" s="20" t="s">
        <v>602</v>
      </c>
      <c r="E167" s="20" t="s">
        <v>603</v>
      </c>
      <c r="F167" s="20" t="s">
        <v>783</v>
      </c>
      <c r="G167" s="20" t="s">
        <v>71</v>
      </c>
      <c r="H167" s="20" t="s">
        <v>71</v>
      </c>
      <c r="I167" s="20" t="s">
        <v>72</v>
      </c>
      <c r="J167" s="20" t="s">
        <v>25</v>
      </c>
      <c r="K167" s="20" t="s">
        <v>597</v>
      </c>
    </row>
    <row r="168" spans="1:11" ht="30" customHeight="1" x14ac:dyDescent="0.25">
      <c r="A168" s="20" t="s">
        <v>182</v>
      </c>
      <c r="B168" s="20" t="s">
        <v>183</v>
      </c>
      <c r="C168" s="20" t="s">
        <v>692</v>
      </c>
      <c r="D168" s="20" t="s">
        <v>693</v>
      </c>
      <c r="E168" s="20" t="s">
        <v>689</v>
      </c>
      <c r="F168" s="20" t="s">
        <v>784</v>
      </c>
      <c r="G168" s="20" t="s">
        <v>71</v>
      </c>
      <c r="H168" s="20" t="s">
        <v>71</v>
      </c>
      <c r="I168" s="20" t="s">
        <v>72</v>
      </c>
      <c r="J168" s="20" t="s">
        <v>25</v>
      </c>
      <c r="K168" s="20" t="s">
        <v>597</v>
      </c>
    </row>
    <row r="169" spans="1:11" ht="30" customHeight="1" x14ac:dyDescent="0.25">
      <c r="A169" s="20" t="s">
        <v>182</v>
      </c>
      <c r="B169" s="20" t="s">
        <v>183</v>
      </c>
      <c r="C169" s="20" t="s">
        <v>609</v>
      </c>
      <c r="D169" s="20" t="s">
        <v>610</v>
      </c>
      <c r="E169" s="20" t="s">
        <v>595</v>
      </c>
      <c r="F169" s="20" t="s">
        <v>785</v>
      </c>
      <c r="G169" s="20" t="s">
        <v>71</v>
      </c>
      <c r="H169" s="20" t="s">
        <v>71</v>
      </c>
      <c r="I169" s="20" t="s">
        <v>72</v>
      </c>
      <c r="J169" s="20" t="s">
        <v>25</v>
      </c>
      <c r="K169" s="20" t="s">
        <v>597</v>
      </c>
    </row>
    <row r="170" spans="1:11" ht="30" customHeight="1" x14ac:dyDescent="0.25">
      <c r="A170" s="20" t="s">
        <v>188</v>
      </c>
      <c r="B170" s="20" t="s">
        <v>189</v>
      </c>
      <c r="C170" s="20" t="s">
        <v>679</v>
      </c>
      <c r="D170" s="20" t="s">
        <v>680</v>
      </c>
      <c r="E170" s="20" t="s">
        <v>681</v>
      </c>
      <c r="F170" s="20" t="s">
        <v>786</v>
      </c>
      <c r="G170" s="20" t="s">
        <v>71</v>
      </c>
      <c r="H170" s="20" t="s">
        <v>71</v>
      </c>
      <c r="I170" s="20" t="s">
        <v>72</v>
      </c>
      <c r="J170" s="20" t="s">
        <v>25</v>
      </c>
      <c r="K170" s="20" t="s">
        <v>597</v>
      </c>
    </row>
    <row r="171" spans="1:11" ht="30" customHeight="1" x14ac:dyDescent="0.25">
      <c r="A171" s="20" t="s">
        <v>188</v>
      </c>
      <c r="B171" s="20" t="s">
        <v>189</v>
      </c>
      <c r="C171" s="20" t="s">
        <v>683</v>
      </c>
      <c r="D171" s="20" t="s">
        <v>684</v>
      </c>
      <c r="E171" s="20" t="s">
        <v>685</v>
      </c>
      <c r="F171" s="20" t="s">
        <v>787</v>
      </c>
      <c r="G171" s="20" t="s">
        <v>71</v>
      </c>
      <c r="H171" s="20" t="s">
        <v>71</v>
      </c>
      <c r="I171" s="20" t="s">
        <v>72</v>
      </c>
      <c r="J171" s="20" t="s">
        <v>25</v>
      </c>
      <c r="K171" s="20" t="s">
        <v>597</v>
      </c>
    </row>
    <row r="172" spans="1:11" ht="30" customHeight="1" x14ac:dyDescent="0.25">
      <c r="A172" s="20" t="s">
        <v>188</v>
      </c>
      <c r="B172" s="20" t="s">
        <v>189</v>
      </c>
      <c r="C172" s="20" t="s">
        <v>687</v>
      </c>
      <c r="D172" s="20" t="s">
        <v>688</v>
      </c>
      <c r="E172" s="20" t="s">
        <v>689</v>
      </c>
      <c r="F172" s="20" t="s">
        <v>788</v>
      </c>
      <c r="G172" s="20" t="s">
        <v>71</v>
      </c>
      <c r="H172" s="20" t="s">
        <v>71</v>
      </c>
      <c r="I172" s="20" t="s">
        <v>72</v>
      </c>
      <c r="J172" s="20" t="s">
        <v>25</v>
      </c>
      <c r="K172" s="20" t="s">
        <v>597</v>
      </c>
    </row>
    <row r="173" spans="1:11" ht="30" customHeight="1" x14ac:dyDescent="0.25">
      <c r="A173" s="20" t="s">
        <v>188</v>
      </c>
      <c r="B173" s="20" t="s">
        <v>189</v>
      </c>
      <c r="C173" s="20" t="s">
        <v>601</v>
      </c>
      <c r="D173" s="20" t="s">
        <v>602</v>
      </c>
      <c r="E173" s="20" t="s">
        <v>603</v>
      </c>
      <c r="F173" s="20" t="s">
        <v>789</v>
      </c>
      <c r="G173" s="20" t="s">
        <v>71</v>
      </c>
      <c r="H173" s="20" t="s">
        <v>71</v>
      </c>
      <c r="I173" s="20" t="s">
        <v>72</v>
      </c>
      <c r="J173" s="20" t="s">
        <v>25</v>
      </c>
      <c r="K173" s="20" t="s">
        <v>597</v>
      </c>
    </row>
    <row r="174" spans="1:11" ht="30" customHeight="1" x14ac:dyDescent="0.25">
      <c r="A174" s="20" t="s">
        <v>188</v>
      </c>
      <c r="B174" s="20" t="s">
        <v>189</v>
      </c>
      <c r="C174" s="20" t="s">
        <v>692</v>
      </c>
      <c r="D174" s="20" t="s">
        <v>693</v>
      </c>
      <c r="E174" s="20" t="s">
        <v>689</v>
      </c>
      <c r="F174" s="20" t="s">
        <v>790</v>
      </c>
      <c r="G174" s="20" t="s">
        <v>71</v>
      </c>
      <c r="H174" s="20" t="s">
        <v>71</v>
      </c>
      <c r="I174" s="20" t="s">
        <v>72</v>
      </c>
      <c r="J174" s="20" t="s">
        <v>25</v>
      </c>
      <c r="K174" s="20" t="s">
        <v>597</v>
      </c>
    </row>
    <row r="175" spans="1:11" ht="30" customHeight="1" x14ac:dyDescent="0.25">
      <c r="A175" s="20" t="s">
        <v>188</v>
      </c>
      <c r="B175" s="20" t="s">
        <v>189</v>
      </c>
      <c r="C175" s="20" t="s">
        <v>609</v>
      </c>
      <c r="D175" s="20" t="s">
        <v>610</v>
      </c>
      <c r="E175" s="20" t="s">
        <v>595</v>
      </c>
      <c r="F175" s="20" t="s">
        <v>791</v>
      </c>
      <c r="G175" s="20" t="s">
        <v>71</v>
      </c>
      <c r="H175" s="20" t="s">
        <v>71</v>
      </c>
      <c r="I175" s="20" t="s">
        <v>72</v>
      </c>
      <c r="J175" s="20" t="s">
        <v>25</v>
      </c>
      <c r="K175" s="20" t="s">
        <v>597</v>
      </c>
    </row>
    <row r="176" spans="1:11" ht="30" customHeight="1" x14ac:dyDescent="0.25">
      <c r="A176" s="20" t="s">
        <v>192</v>
      </c>
      <c r="B176" s="20" t="s">
        <v>193</v>
      </c>
      <c r="C176" s="20" t="s">
        <v>679</v>
      </c>
      <c r="D176" s="20" t="s">
        <v>680</v>
      </c>
      <c r="E176" s="20" t="s">
        <v>681</v>
      </c>
      <c r="F176" s="20" t="s">
        <v>792</v>
      </c>
      <c r="G176" s="20" t="s">
        <v>78</v>
      </c>
      <c r="H176" s="20" t="s">
        <v>71</v>
      </c>
      <c r="I176" s="20" t="s">
        <v>72</v>
      </c>
      <c r="J176" s="20" t="s">
        <v>25</v>
      </c>
      <c r="K176" s="20" t="s">
        <v>597</v>
      </c>
    </row>
    <row r="177" spans="1:11" ht="30" customHeight="1" x14ac:dyDescent="0.25">
      <c r="A177" s="20" t="s">
        <v>192</v>
      </c>
      <c r="B177" s="20" t="s">
        <v>193</v>
      </c>
      <c r="C177" s="20" t="s">
        <v>683</v>
      </c>
      <c r="D177" s="20" t="s">
        <v>684</v>
      </c>
      <c r="E177" s="20" t="s">
        <v>685</v>
      </c>
      <c r="F177" s="20" t="s">
        <v>793</v>
      </c>
      <c r="G177" s="20" t="s">
        <v>78</v>
      </c>
      <c r="H177" s="20" t="s">
        <v>71</v>
      </c>
      <c r="I177" s="20" t="s">
        <v>72</v>
      </c>
      <c r="J177" s="20" t="s">
        <v>25</v>
      </c>
      <c r="K177" s="20" t="s">
        <v>597</v>
      </c>
    </row>
    <row r="178" spans="1:11" ht="30" customHeight="1" x14ac:dyDescent="0.25">
      <c r="A178" s="20" t="s">
        <v>192</v>
      </c>
      <c r="B178" s="20" t="s">
        <v>193</v>
      </c>
      <c r="C178" s="20" t="s">
        <v>687</v>
      </c>
      <c r="D178" s="20" t="s">
        <v>688</v>
      </c>
      <c r="E178" s="20" t="s">
        <v>689</v>
      </c>
      <c r="F178" s="20" t="s">
        <v>794</v>
      </c>
      <c r="G178" s="20" t="s">
        <v>78</v>
      </c>
      <c r="H178" s="20" t="s">
        <v>71</v>
      </c>
      <c r="I178" s="20" t="s">
        <v>72</v>
      </c>
      <c r="J178" s="20" t="s">
        <v>25</v>
      </c>
      <c r="K178" s="20" t="s">
        <v>597</v>
      </c>
    </row>
    <row r="179" spans="1:11" ht="30" customHeight="1" x14ac:dyDescent="0.25">
      <c r="A179" s="20" t="s">
        <v>192</v>
      </c>
      <c r="B179" s="20" t="s">
        <v>193</v>
      </c>
      <c r="C179" s="20" t="s">
        <v>601</v>
      </c>
      <c r="D179" s="20" t="s">
        <v>602</v>
      </c>
      <c r="E179" s="20" t="s">
        <v>603</v>
      </c>
      <c r="F179" s="20" t="s">
        <v>795</v>
      </c>
      <c r="G179" s="20" t="s">
        <v>78</v>
      </c>
      <c r="H179" s="20" t="s">
        <v>71</v>
      </c>
      <c r="I179" s="20" t="s">
        <v>72</v>
      </c>
      <c r="J179" s="20" t="s">
        <v>25</v>
      </c>
      <c r="K179" s="20" t="s">
        <v>597</v>
      </c>
    </row>
    <row r="180" spans="1:11" ht="30" customHeight="1" x14ac:dyDescent="0.25">
      <c r="A180" s="20" t="s">
        <v>192</v>
      </c>
      <c r="B180" s="20" t="s">
        <v>193</v>
      </c>
      <c r="C180" s="20" t="s">
        <v>692</v>
      </c>
      <c r="D180" s="20" t="s">
        <v>693</v>
      </c>
      <c r="E180" s="20" t="s">
        <v>689</v>
      </c>
      <c r="F180" s="20" t="s">
        <v>796</v>
      </c>
      <c r="G180" s="20" t="s">
        <v>78</v>
      </c>
      <c r="H180" s="20" t="s">
        <v>71</v>
      </c>
      <c r="I180" s="20" t="s">
        <v>72</v>
      </c>
      <c r="J180" s="20" t="s">
        <v>25</v>
      </c>
      <c r="K180" s="20" t="s">
        <v>597</v>
      </c>
    </row>
    <row r="181" spans="1:11" ht="30" customHeight="1" x14ac:dyDescent="0.25">
      <c r="A181" s="20" t="s">
        <v>192</v>
      </c>
      <c r="B181" s="20" t="s">
        <v>193</v>
      </c>
      <c r="C181" s="20" t="s">
        <v>609</v>
      </c>
      <c r="D181" s="20" t="s">
        <v>610</v>
      </c>
      <c r="E181" s="20" t="s">
        <v>595</v>
      </c>
      <c r="F181" s="20" t="s">
        <v>797</v>
      </c>
      <c r="G181" s="20" t="s">
        <v>78</v>
      </c>
      <c r="H181" s="20" t="s">
        <v>71</v>
      </c>
      <c r="I181" s="20" t="s">
        <v>72</v>
      </c>
      <c r="J181" s="20" t="s">
        <v>25</v>
      </c>
      <c r="K181" s="20" t="s">
        <v>597</v>
      </c>
    </row>
    <row r="182" spans="1:11" ht="30" customHeight="1" x14ac:dyDescent="0.25">
      <c r="A182" s="20" t="s">
        <v>195</v>
      </c>
      <c r="B182" s="20" t="s">
        <v>196</v>
      </c>
      <c r="C182" s="20" t="s">
        <v>679</v>
      </c>
      <c r="D182" s="20" t="s">
        <v>680</v>
      </c>
      <c r="E182" s="20" t="s">
        <v>681</v>
      </c>
      <c r="F182" s="20" t="s">
        <v>798</v>
      </c>
      <c r="G182" s="20" t="s">
        <v>71</v>
      </c>
      <c r="H182" s="20" t="s">
        <v>71</v>
      </c>
      <c r="I182" s="20" t="s">
        <v>72</v>
      </c>
      <c r="J182" s="20" t="s">
        <v>25</v>
      </c>
      <c r="K182" s="20" t="s">
        <v>597</v>
      </c>
    </row>
    <row r="183" spans="1:11" ht="30" customHeight="1" x14ac:dyDescent="0.25">
      <c r="A183" s="20" t="s">
        <v>195</v>
      </c>
      <c r="B183" s="20" t="s">
        <v>196</v>
      </c>
      <c r="C183" s="20" t="s">
        <v>683</v>
      </c>
      <c r="D183" s="20" t="s">
        <v>684</v>
      </c>
      <c r="E183" s="20" t="s">
        <v>685</v>
      </c>
      <c r="F183" s="20" t="s">
        <v>799</v>
      </c>
      <c r="G183" s="20" t="s">
        <v>71</v>
      </c>
      <c r="H183" s="20" t="s">
        <v>71</v>
      </c>
      <c r="I183" s="20" t="s">
        <v>72</v>
      </c>
      <c r="J183" s="20" t="s">
        <v>25</v>
      </c>
      <c r="K183" s="20" t="s">
        <v>597</v>
      </c>
    </row>
    <row r="184" spans="1:11" ht="30" customHeight="1" x14ac:dyDescent="0.25">
      <c r="A184" s="20" t="s">
        <v>195</v>
      </c>
      <c r="B184" s="20" t="s">
        <v>196</v>
      </c>
      <c r="C184" s="20" t="s">
        <v>687</v>
      </c>
      <c r="D184" s="20" t="s">
        <v>688</v>
      </c>
      <c r="E184" s="20" t="s">
        <v>689</v>
      </c>
      <c r="F184" s="20" t="s">
        <v>800</v>
      </c>
      <c r="G184" s="20" t="s">
        <v>71</v>
      </c>
      <c r="H184" s="20" t="s">
        <v>71</v>
      </c>
      <c r="I184" s="20" t="s">
        <v>72</v>
      </c>
      <c r="J184" s="20" t="s">
        <v>25</v>
      </c>
      <c r="K184" s="20" t="s">
        <v>597</v>
      </c>
    </row>
    <row r="185" spans="1:11" ht="30" customHeight="1" x14ac:dyDescent="0.25">
      <c r="A185" s="20" t="s">
        <v>195</v>
      </c>
      <c r="B185" s="20" t="s">
        <v>196</v>
      </c>
      <c r="C185" s="20" t="s">
        <v>601</v>
      </c>
      <c r="D185" s="20" t="s">
        <v>602</v>
      </c>
      <c r="E185" s="20" t="s">
        <v>603</v>
      </c>
      <c r="F185" s="20" t="s">
        <v>801</v>
      </c>
      <c r="G185" s="20" t="s">
        <v>71</v>
      </c>
      <c r="H185" s="20" t="s">
        <v>71</v>
      </c>
      <c r="I185" s="20" t="s">
        <v>72</v>
      </c>
      <c r="J185" s="20" t="s">
        <v>25</v>
      </c>
      <c r="K185" s="20" t="s">
        <v>597</v>
      </c>
    </row>
    <row r="186" spans="1:11" ht="30" customHeight="1" x14ac:dyDescent="0.25">
      <c r="A186" s="20" t="s">
        <v>195</v>
      </c>
      <c r="B186" s="20" t="s">
        <v>196</v>
      </c>
      <c r="C186" s="20" t="s">
        <v>692</v>
      </c>
      <c r="D186" s="20" t="s">
        <v>693</v>
      </c>
      <c r="E186" s="20" t="s">
        <v>689</v>
      </c>
      <c r="F186" s="20" t="s">
        <v>802</v>
      </c>
      <c r="G186" s="20" t="s">
        <v>71</v>
      </c>
      <c r="H186" s="20" t="s">
        <v>71</v>
      </c>
      <c r="I186" s="20" t="s">
        <v>72</v>
      </c>
      <c r="J186" s="20" t="s">
        <v>25</v>
      </c>
      <c r="K186" s="20" t="s">
        <v>597</v>
      </c>
    </row>
    <row r="187" spans="1:11" ht="30" customHeight="1" x14ac:dyDescent="0.25">
      <c r="A187" s="20" t="s">
        <v>195</v>
      </c>
      <c r="B187" s="20" t="s">
        <v>196</v>
      </c>
      <c r="C187" s="20" t="s">
        <v>609</v>
      </c>
      <c r="D187" s="20" t="s">
        <v>610</v>
      </c>
      <c r="E187" s="20" t="s">
        <v>595</v>
      </c>
      <c r="F187" s="20" t="s">
        <v>803</v>
      </c>
      <c r="G187" s="20" t="s">
        <v>71</v>
      </c>
      <c r="H187" s="20" t="s">
        <v>71</v>
      </c>
      <c r="I187" s="20" t="s">
        <v>72</v>
      </c>
      <c r="J187" s="20" t="s">
        <v>25</v>
      </c>
      <c r="K187" s="20" t="s">
        <v>597</v>
      </c>
    </row>
    <row r="188" spans="1:11" ht="30" customHeight="1" x14ac:dyDescent="0.25">
      <c r="A188" s="20" t="s">
        <v>200</v>
      </c>
      <c r="B188" s="20" t="s">
        <v>201</v>
      </c>
      <c r="C188" s="20" t="s">
        <v>679</v>
      </c>
      <c r="D188" s="20" t="s">
        <v>680</v>
      </c>
      <c r="E188" s="20" t="s">
        <v>681</v>
      </c>
      <c r="F188" s="20" t="s">
        <v>804</v>
      </c>
      <c r="G188" s="20" t="s">
        <v>71</v>
      </c>
      <c r="H188" s="20" t="s">
        <v>71</v>
      </c>
      <c r="I188" s="20" t="s">
        <v>72</v>
      </c>
      <c r="J188" s="20" t="s">
        <v>25</v>
      </c>
      <c r="K188" s="20" t="s">
        <v>597</v>
      </c>
    </row>
    <row r="189" spans="1:11" ht="30" customHeight="1" x14ac:dyDescent="0.25">
      <c r="A189" s="20" t="s">
        <v>200</v>
      </c>
      <c r="B189" s="20" t="s">
        <v>201</v>
      </c>
      <c r="C189" s="20" t="s">
        <v>683</v>
      </c>
      <c r="D189" s="20" t="s">
        <v>684</v>
      </c>
      <c r="E189" s="20" t="s">
        <v>685</v>
      </c>
      <c r="F189" s="20" t="s">
        <v>805</v>
      </c>
      <c r="G189" s="20" t="s">
        <v>71</v>
      </c>
      <c r="H189" s="20" t="s">
        <v>71</v>
      </c>
      <c r="I189" s="20" t="s">
        <v>72</v>
      </c>
      <c r="J189" s="20" t="s">
        <v>25</v>
      </c>
      <c r="K189" s="20" t="s">
        <v>597</v>
      </c>
    </row>
    <row r="190" spans="1:11" ht="30" customHeight="1" x14ac:dyDescent="0.25">
      <c r="A190" s="20" t="s">
        <v>200</v>
      </c>
      <c r="B190" s="20" t="s">
        <v>201</v>
      </c>
      <c r="C190" s="20" t="s">
        <v>687</v>
      </c>
      <c r="D190" s="20" t="s">
        <v>688</v>
      </c>
      <c r="E190" s="20" t="s">
        <v>689</v>
      </c>
      <c r="F190" s="20" t="s">
        <v>806</v>
      </c>
      <c r="G190" s="20" t="s">
        <v>71</v>
      </c>
      <c r="H190" s="20" t="s">
        <v>71</v>
      </c>
      <c r="I190" s="20" t="s">
        <v>72</v>
      </c>
      <c r="J190" s="20" t="s">
        <v>25</v>
      </c>
      <c r="K190" s="20" t="s">
        <v>597</v>
      </c>
    </row>
    <row r="191" spans="1:11" ht="30" customHeight="1" x14ac:dyDescent="0.25">
      <c r="A191" s="20" t="s">
        <v>200</v>
      </c>
      <c r="B191" s="20" t="s">
        <v>201</v>
      </c>
      <c r="C191" s="20" t="s">
        <v>601</v>
      </c>
      <c r="D191" s="20" t="s">
        <v>602</v>
      </c>
      <c r="E191" s="20" t="s">
        <v>603</v>
      </c>
      <c r="F191" s="20" t="s">
        <v>807</v>
      </c>
      <c r="G191" s="20" t="s">
        <v>71</v>
      </c>
      <c r="H191" s="20" t="s">
        <v>71</v>
      </c>
      <c r="I191" s="20" t="s">
        <v>72</v>
      </c>
      <c r="J191" s="20" t="s">
        <v>25</v>
      </c>
      <c r="K191" s="20" t="s">
        <v>597</v>
      </c>
    </row>
    <row r="192" spans="1:11" ht="30" customHeight="1" x14ac:dyDescent="0.25">
      <c r="A192" s="20" t="s">
        <v>200</v>
      </c>
      <c r="B192" s="20" t="s">
        <v>201</v>
      </c>
      <c r="C192" s="20" t="s">
        <v>692</v>
      </c>
      <c r="D192" s="20" t="s">
        <v>693</v>
      </c>
      <c r="E192" s="20" t="s">
        <v>689</v>
      </c>
      <c r="F192" s="20" t="s">
        <v>808</v>
      </c>
      <c r="G192" s="20" t="s">
        <v>71</v>
      </c>
      <c r="H192" s="20" t="s">
        <v>71</v>
      </c>
      <c r="I192" s="20" t="s">
        <v>72</v>
      </c>
      <c r="J192" s="20" t="s">
        <v>25</v>
      </c>
      <c r="K192" s="20" t="s">
        <v>597</v>
      </c>
    </row>
    <row r="193" spans="1:11" ht="30" customHeight="1" x14ac:dyDescent="0.25">
      <c r="A193" s="20" t="s">
        <v>200</v>
      </c>
      <c r="B193" s="20" t="s">
        <v>201</v>
      </c>
      <c r="C193" s="20" t="s">
        <v>609</v>
      </c>
      <c r="D193" s="20" t="s">
        <v>610</v>
      </c>
      <c r="E193" s="20" t="s">
        <v>595</v>
      </c>
      <c r="F193" s="20" t="s">
        <v>809</v>
      </c>
      <c r="G193" s="20" t="s">
        <v>71</v>
      </c>
      <c r="H193" s="20" t="s">
        <v>71</v>
      </c>
      <c r="I193" s="20" t="s">
        <v>72</v>
      </c>
      <c r="J193" s="20" t="s">
        <v>25</v>
      </c>
      <c r="K193" s="20" t="s">
        <v>597</v>
      </c>
    </row>
    <row r="194" spans="1:11" ht="30" customHeight="1" x14ac:dyDescent="0.25">
      <c r="A194" s="20" t="s">
        <v>204</v>
      </c>
      <c r="B194" s="20" t="s">
        <v>205</v>
      </c>
      <c r="C194" s="20" t="s">
        <v>679</v>
      </c>
      <c r="D194" s="20" t="s">
        <v>680</v>
      </c>
      <c r="E194" s="20" t="s">
        <v>681</v>
      </c>
      <c r="F194" s="20" t="s">
        <v>810</v>
      </c>
      <c r="G194" s="20" t="s">
        <v>78</v>
      </c>
      <c r="H194" s="20" t="s">
        <v>71</v>
      </c>
      <c r="I194" s="20" t="s">
        <v>72</v>
      </c>
      <c r="J194" s="20" t="s">
        <v>25</v>
      </c>
      <c r="K194" s="20" t="s">
        <v>597</v>
      </c>
    </row>
    <row r="195" spans="1:11" ht="30" customHeight="1" x14ac:dyDescent="0.25">
      <c r="A195" s="20" t="s">
        <v>204</v>
      </c>
      <c r="B195" s="20" t="s">
        <v>205</v>
      </c>
      <c r="C195" s="20" t="s">
        <v>683</v>
      </c>
      <c r="D195" s="20" t="s">
        <v>684</v>
      </c>
      <c r="E195" s="20" t="s">
        <v>685</v>
      </c>
      <c r="F195" s="20" t="s">
        <v>811</v>
      </c>
      <c r="G195" s="20" t="s">
        <v>78</v>
      </c>
      <c r="H195" s="20" t="s">
        <v>71</v>
      </c>
      <c r="I195" s="20" t="s">
        <v>72</v>
      </c>
      <c r="J195" s="20" t="s">
        <v>25</v>
      </c>
      <c r="K195" s="20" t="s">
        <v>597</v>
      </c>
    </row>
    <row r="196" spans="1:11" ht="30" customHeight="1" x14ac:dyDescent="0.25">
      <c r="A196" s="20" t="s">
        <v>204</v>
      </c>
      <c r="B196" s="20" t="s">
        <v>205</v>
      </c>
      <c r="C196" s="20" t="s">
        <v>687</v>
      </c>
      <c r="D196" s="20" t="s">
        <v>688</v>
      </c>
      <c r="E196" s="20" t="s">
        <v>689</v>
      </c>
      <c r="F196" s="20" t="s">
        <v>812</v>
      </c>
      <c r="G196" s="20" t="s">
        <v>78</v>
      </c>
      <c r="H196" s="20" t="s">
        <v>71</v>
      </c>
      <c r="I196" s="20" t="s">
        <v>72</v>
      </c>
      <c r="J196" s="20" t="s">
        <v>25</v>
      </c>
      <c r="K196" s="20" t="s">
        <v>597</v>
      </c>
    </row>
    <row r="197" spans="1:11" ht="30" customHeight="1" x14ac:dyDescent="0.25">
      <c r="A197" s="20" t="s">
        <v>204</v>
      </c>
      <c r="B197" s="20" t="s">
        <v>205</v>
      </c>
      <c r="C197" s="20" t="s">
        <v>601</v>
      </c>
      <c r="D197" s="20" t="s">
        <v>602</v>
      </c>
      <c r="E197" s="20" t="s">
        <v>603</v>
      </c>
      <c r="F197" s="20" t="s">
        <v>813</v>
      </c>
      <c r="G197" s="20" t="s">
        <v>78</v>
      </c>
      <c r="H197" s="20" t="s">
        <v>71</v>
      </c>
      <c r="I197" s="20" t="s">
        <v>72</v>
      </c>
      <c r="J197" s="20" t="s">
        <v>25</v>
      </c>
      <c r="K197" s="20" t="s">
        <v>597</v>
      </c>
    </row>
    <row r="198" spans="1:11" ht="30" customHeight="1" x14ac:dyDescent="0.25">
      <c r="A198" s="20" t="s">
        <v>204</v>
      </c>
      <c r="B198" s="20" t="s">
        <v>205</v>
      </c>
      <c r="C198" s="20" t="s">
        <v>692</v>
      </c>
      <c r="D198" s="20" t="s">
        <v>693</v>
      </c>
      <c r="E198" s="20" t="s">
        <v>689</v>
      </c>
      <c r="F198" s="20" t="s">
        <v>814</v>
      </c>
      <c r="G198" s="20" t="s">
        <v>78</v>
      </c>
      <c r="H198" s="20" t="s">
        <v>71</v>
      </c>
      <c r="I198" s="20" t="s">
        <v>72</v>
      </c>
      <c r="J198" s="20" t="s">
        <v>25</v>
      </c>
      <c r="K198" s="20" t="s">
        <v>597</v>
      </c>
    </row>
    <row r="199" spans="1:11" ht="30" customHeight="1" x14ac:dyDescent="0.25">
      <c r="A199" s="20" t="s">
        <v>204</v>
      </c>
      <c r="B199" s="20" t="s">
        <v>205</v>
      </c>
      <c r="C199" s="20" t="s">
        <v>609</v>
      </c>
      <c r="D199" s="20" t="s">
        <v>610</v>
      </c>
      <c r="E199" s="20" t="s">
        <v>595</v>
      </c>
      <c r="F199" s="20" t="s">
        <v>815</v>
      </c>
      <c r="G199" s="20" t="s">
        <v>78</v>
      </c>
      <c r="H199" s="20" t="s">
        <v>71</v>
      </c>
      <c r="I199" s="20" t="s">
        <v>72</v>
      </c>
      <c r="J199" s="20" t="s">
        <v>25</v>
      </c>
      <c r="K199" s="20" t="s">
        <v>597</v>
      </c>
    </row>
    <row r="200" spans="1:11" ht="30" customHeight="1" x14ac:dyDescent="0.25">
      <c r="A200" s="20" t="s">
        <v>208</v>
      </c>
      <c r="B200" s="20" t="s">
        <v>209</v>
      </c>
      <c r="C200" s="20" t="s">
        <v>679</v>
      </c>
      <c r="D200" s="20" t="s">
        <v>680</v>
      </c>
      <c r="E200" s="20" t="s">
        <v>681</v>
      </c>
      <c r="F200" s="20" t="s">
        <v>816</v>
      </c>
      <c r="G200" s="20" t="s">
        <v>94</v>
      </c>
      <c r="H200" s="20" t="s">
        <v>71</v>
      </c>
      <c r="I200" s="20" t="s">
        <v>72</v>
      </c>
      <c r="J200" s="20" t="s">
        <v>25</v>
      </c>
      <c r="K200" s="20" t="s">
        <v>597</v>
      </c>
    </row>
    <row r="201" spans="1:11" ht="30" customHeight="1" x14ac:dyDescent="0.25">
      <c r="A201" s="20" t="s">
        <v>208</v>
      </c>
      <c r="B201" s="20" t="s">
        <v>209</v>
      </c>
      <c r="C201" s="20" t="s">
        <v>683</v>
      </c>
      <c r="D201" s="20" t="s">
        <v>684</v>
      </c>
      <c r="E201" s="20" t="s">
        <v>685</v>
      </c>
      <c r="F201" s="20" t="s">
        <v>817</v>
      </c>
      <c r="G201" s="20" t="s">
        <v>94</v>
      </c>
      <c r="H201" s="20" t="s">
        <v>71</v>
      </c>
      <c r="I201" s="20" t="s">
        <v>72</v>
      </c>
      <c r="J201" s="20" t="s">
        <v>25</v>
      </c>
      <c r="K201" s="20" t="s">
        <v>597</v>
      </c>
    </row>
    <row r="202" spans="1:11" ht="30" customHeight="1" x14ac:dyDescent="0.25">
      <c r="A202" s="20" t="s">
        <v>208</v>
      </c>
      <c r="B202" s="20" t="s">
        <v>209</v>
      </c>
      <c r="C202" s="20" t="s">
        <v>687</v>
      </c>
      <c r="D202" s="20" t="s">
        <v>688</v>
      </c>
      <c r="E202" s="20" t="s">
        <v>689</v>
      </c>
      <c r="F202" s="20" t="s">
        <v>818</v>
      </c>
      <c r="G202" s="20" t="s">
        <v>94</v>
      </c>
      <c r="H202" s="20" t="s">
        <v>71</v>
      </c>
      <c r="I202" s="20" t="s">
        <v>72</v>
      </c>
      <c r="J202" s="20" t="s">
        <v>25</v>
      </c>
      <c r="K202" s="20" t="s">
        <v>597</v>
      </c>
    </row>
    <row r="203" spans="1:11" ht="30" customHeight="1" x14ac:dyDescent="0.25">
      <c r="A203" s="20" t="s">
        <v>208</v>
      </c>
      <c r="B203" s="20" t="s">
        <v>209</v>
      </c>
      <c r="C203" s="20" t="s">
        <v>601</v>
      </c>
      <c r="D203" s="20" t="s">
        <v>602</v>
      </c>
      <c r="E203" s="20" t="s">
        <v>603</v>
      </c>
      <c r="F203" s="20" t="s">
        <v>819</v>
      </c>
      <c r="G203" s="20" t="s">
        <v>94</v>
      </c>
      <c r="H203" s="20" t="s">
        <v>71</v>
      </c>
      <c r="I203" s="20" t="s">
        <v>72</v>
      </c>
      <c r="J203" s="20" t="s">
        <v>25</v>
      </c>
      <c r="K203" s="20" t="s">
        <v>597</v>
      </c>
    </row>
    <row r="204" spans="1:11" ht="30" customHeight="1" x14ac:dyDescent="0.25">
      <c r="A204" s="20" t="s">
        <v>208</v>
      </c>
      <c r="B204" s="20" t="s">
        <v>209</v>
      </c>
      <c r="C204" s="20" t="s">
        <v>692</v>
      </c>
      <c r="D204" s="20" t="s">
        <v>693</v>
      </c>
      <c r="E204" s="20" t="s">
        <v>689</v>
      </c>
      <c r="F204" s="20" t="s">
        <v>820</v>
      </c>
      <c r="G204" s="20" t="s">
        <v>94</v>
      </c>
      <c r="H204" s="20" t="s">
        <v>71</v>
      </c>
      <c r="I204" s="20" t="s">
        <v>72</v>
      </c>
      <c r="J204" s="20" t="s">
        <v>25</v>
      </c>
      <c r="K204" s="20" t="s">
        <v>597</v>
      </c>
    </row>
    <row r="205" spans="1:11" ht="30" customHeight="1" x14ac:dyDescent="0.25">
      <c r="A205" s="20" t="s">
        <v>208</v>
      </c>
      <c r="B205" s="20" t="s">
        <v>209</v>
      </c>
      <c r="C205" s="20" t="s">
        <v>609</v>
      </c>
      <c r="D205" s="20" t="s">
        <v>610</v>
      </c>
      <c r="E205" s="20" t="s">
        <v>595</v>
      </c>
      <c r="F205" s="20" t="s">
        <v>821</v>
      </c>
      <c r="G205" s="20" t="s">
        <v>94</v>
      </c>
      <c r="H205" s="20" t="s">
        <v>71</v>
      </c>
      <c r="I205" s="20" t="s">
        <v>72</v>
      </c>
      <c r="J205" s="20" t="s">
        <v>25</v>
      </c>
      <c r="K205" s="20" t="s">
        <v>597</v>
      </c>
    </row>
    <row r="206" spans="1:11" ht="30" customHeight="1" x14ac:dyDescent="0.25">
      <c r="A206" s="20" t="s">
        <v>213</v>
      </c>
      <c r="B206" s="20" t="s">
        <v>214</v>
      </c>
      <c r="C206" s="20" t="s">
        <v>679</v>
      </c>
      <c r="D206" s="20" t="s">
        <v>680</v>
      </c>
      <c r="E206" s="20" t="s">
        <v>681</v>
      </c>
      <c r="F206" s="20" t="s">
        <v>822</v>
      </c>
      <c r="G206" s="20" t="s">
        <v>71</v>
      </c>
      <c r="H206" s="20" t="s">
        <v>71</v>
      </c>
      <c r="I206" s="20" t="s">
        <v>72</v>
      </c>
      <c r="J206" s="20" t="s">
        <v>25</v>
      </c>
      <c r="K206" s="20" t="s">
        <v>597</v>
      </c>
    </row>
    <row r="207" spans="1:11" ht="30" customHeight="1" x14ac:dyDescent="0.25">
      <c r="A207" s="20" t="s">
        <v>213</v>
      </c>
      <c r="B207" s="20" t="s">
        <v>214</v>
      </c>
      <c r="C207" s="20" t="s">
        <v>683</v>
      </c>
      <c r="D207" s="20" t="s">
        <v>684</v>
      </c>
      <c r="E207" s="20" t="s">
        <v>685</v>
      </c>
      <c r="F207" s="20" t="s">
        <v>823</v>
      </c>
      <c r="G207" s="20" t="s">
        <v>71</v>
      </c>
      <c r="H207" s="20" t="s">
        <v>71</v>
      </c>
      <c r="I207" s="20" t="s">
        <v>72</v>
      </c>
      <c r="J207" s="20" t="s">
        <v>25</v>
      </c>
      <c r="K207" s="20" t="s">
        <v>597</v>
      </c>
    </row>
    <row r="208" spans="1:11" ht="30" customHeight="1" x14ac:dyDescent="0.25">
      <c r="A208" s="20" t="s">
        <v>213</v>
      </c>
      <c r="B208" s="20" t="s">
        <v>214</v>
      </c>
      <c r="C208" s="20" t="s">
        <v>687</v>
      </c>
      <c r="D208" s="20" t="s">
        <v>688</v>
      </c>
      <c r="E208" s="20" t="s">
        <v>689</v>
      </c>
      <c r="F208" s="20" t="s">
        <v>824</v>
      </c>
      <c r="G208" s="20" t="s">
        <v>71</v>
      </c>
      <c r="H208" s="20" t="s">
        <v>71</v>
      </c>
      <c r="I208" s="20" t="s">
        <v>72</v>
      </c>
      <c r="J208" s="20" t="s">
        <v>25</v>
      </c>
      <c r="K208" s="20" t="s">
        <v>597</v>
      </c>
    </row>
    <row r="209" spans="1:11" ht="30" customHeight="1" x14ac:dyDescent="0.25">
      <c r="A209" s="20" t="s">
        <v>213</v>
      </c>
      <c r="B209" s="20" t="s">
        <v>214</v>
      </c>
      <c r="C209" s="20" t="s">
        <v>601</v>
      </c>
      <c r="D209" s="20" t="s">
        <v>602</v>
      </c>
      <c r="E209" s="20" t="s">
        <v>603</v>
      </c>
      <c r="F209" s="20" t="s">
        <v>825</v>
      </c>
      <c r="G209" s="20" t="s">
        <v>71</v>
      </c>
      <c r="H209" s="20" t="s">
        <v>71</v>
      </c>
      <c r="I209" s="20" t="s">
        <v>72</v>
      </c>
      <c r="J209" s="20" t="s">
        <v>25</v>
      </c>
      <c r="K209" s="20" t="s">
        <v>597</v>
      </c>
    </row>
    <row r="210" spans="1:11" ht="30" customHeight="1" x14ac:dyDescent="0.25">
      <c r="A210" s="20" t="s">
        <v>213</v>
      </c>
      <c r="B210" s="20" t="s">
        <v>214</v>
      </c>
      <c r="C210" s="20" t="s">
        <v>692</v>
      </c>
      <c r="D210" s="20" t="s">
        <v>693</v>
      </c>
      <c r="E210" s="20" t="s">
        <v>689</v>
      </c>
      <c r="F210" s="20" t="s">
        <v>826</v>
      </c>
      <c r="G210" s="20" t="s">
        <v>71</v>
      </c>
      <c r="H210" s="20" t="s">
        <v>71</v>
      </c>
      <c r="I210" s="20" t="s">
        <v>72</v>
      </c>
      <c r="J210" s="20" t="s">
        <v>25</v>
      </c>
      <c r="K210" s="20" t="s">
        <v>597</v>
      </c>
    </row>
    <row r="211" spans="1:11" ht="30" customHeight="1" x14ac:dyDescent="0.25">
      <c r="A211" s="20" t="s">
        <v>213</v>
      </c>
      <c r="B211" s="20" t="s">
        <v>214</v>
      </c>
      <c r="C211" s="20" t="s">
        <v>609</v>
      </c>
      <c r="D211" s="20" t="s">
        <v>610</v>
      </c>
      <c r="E211" s="20" t="s">
        <v>595</v>
      </c>
      <c r="F211" s="20" t="s">
        <v>827</v>
      </c>
      <c r="G211" s="20" t="s">
        <v>71</v>
      </c>
      <c r="H211" s="20" t="s">
        <v>71</v>
      </c>
      <c r="I211" s="20" t="s">
        <v>72</v>
      </c>
      <c r="J211" s="20" t="s">
        <v>25</v>
      </c>
      <c r="K211" s="20" t="s">
        <v>597</v>
      </c>
    </row>
    <row r="212" spans="1:11" ht="30" customHeight="1" x14ac:dyDescent="0.25">
      <c r="A212" s="20" t="s">
        <v>217</v>
      </c>
      <c r="B212" s="20" t="s">
        <v>218</v>
      </c>
      <c r="C212" s="20" t="s">
        <v>679</v>
      </c>
      <c r="D212" s="20" t="s">
        <v>680</v>
      </c>
      <c r="E212" s="20" t="s">
        <v>681</v>
      </c>
      <c r="F212" s="20" t="s">
        <v>828</v>
      </c>
      <c r="G212" s="20" t="s">
        <v>71</v>
      </c>
      <c r="H212" s="20" t="s">
        <v>71</v>
      </c>
      <c r="I212" s="20" t="s">
        <v>72</v>
      </c>
      <c r="J212" s="20" t="s">
        <v>25</v>
      </c>
      <c r="K212" s="20" t="s">
        <v>597</v>
      </c>
    </row>
    <row r="213" spans="1:11" ht="30" customHeight="1" x14ac:dyDescent="0.25">
      <c r="A213" s="20" t="s">
        <v>217</v>
      </c>
      <c r="B213" s="20" t="s">
        <v>218</v>
      </c>
      <c r="C213" s="20" t="s">
        <v>683</v>
      </c>
      <c r="D213" s="20" t="s">
        <v>684</v>
      </c>
      <c r="E213" s="20" t="s">
        <v>685</v>
      </c>
      <c r="F213" s="20" t="s">
        <v>829</v>
      </c>
      <c r="G213" s="20" t="s">
        <v>71</v>
      </c>
      <c r="H213" s="20" t="s">
        <v>71</v>
      </c>
      <c r="I213" s="20" t="s">
        <v>72</v>
      </c>
      <c r="J213" s="20" t="s">
        <v>25</v>
      </c>
      <c r="K213" s="20" t="s">
        <v>597</v>
      </c>
    </row>
    <row r="214" spans="1:11" ht="30" customHeight="1" x14ac:dyDescent="0.25">
      <c r="A214" s="20" t="s">
        <v>217</v>
      </c>
      <c r="B214" s="20" t="s">
        <v>218</v>
      </c>
      <c r="C214" s="20" t="s">
        <v>687</v>
      </c>
      <c r="D214" s="20" t="s">
        <v>688</v>
      </c>
      <c r="E214" s="20" t="s">
        <v>689</v>
      </c>
      <c r="F214" s="20" t="s">
        <v>830</v>
      </c>
      <c r="G214" s="20" t="s">
        <v>71</v>
      </c>
      <c r="H214" s="20" t="s">
        <v>71</v>
      </c>
      <c r="I214" s="20" t="s">
        <v>72</v>
      </c>
      <c r="J214" s="20" t="s">
        <v>25</v>
      </c>
      <c r="K214" s="20" t="s">
        <v>597</v>
      </c>
    </row>
    <row r="215" spans="1:11" ht="30" customHeight="1" x14ac:dyDescent="0.25">
      <c r="A215" s="20" t="s">
        <v>217</v>
      </c>
      <c r="B215" s="20" t="s">
        <v>218</v>
      </c>
      <c r="C215" s="20" t="s">
        <v>601</v>
      </c>
      <c r="D215" s="20" t="s">
        <v>602</v>
      </c>
      <c r="E215" s="20" t="s">
        <v>603</v>
      </c>
      <c r="F215" s="20" t="s">
        <v>831</v>
      </c>
      <c r="G215" s="20" t="s">
        <v>71</v>
      </c>
      <c r="H215" s="20" t="s">
        <v>71</v>
      </c>
      <c r="I215" s="20" t="s">
        <v>72</v>
      </c>
      <c r="J215" s="20" t="s">
        <v>25</v>
      </c>
      <c r="K215" s="20" t="s">
        <v>597</v>
      </c>
    </row>
    <row r="216" spans="1:11" ht="30" customHeight="1" x14ac:dyDescent="0.25">
      <c r="A216" s="20" t="s">
        <v>217</v>
      </c>
      <c r="B216" s="20" t="s">
        <v>218</v>
      </c>
      <c r="C216" s="20" t="s">
        <v>692</v>
      </c>
      <c r="D216" s="20" t="s">
        <v>693</v>
      </c>
      <c r="E216" s="20" t="s">
        <v>689</v>
      </c>
      <c r="F216" s="20" t="s">
        <v>832</v>
      </c>
      <c r="G216" s="20" t="s">
        <v>71</v>
      </c>
      <c r="H216" s="20" t="s">
        <v>71</v>
      </c>
      <c r="I216" s="20" t="s">
        <v>72</v>
      </c>
      <c r="J216" s="20" t="s">
        <v>25</v>
      </c>
      <c r="K216" s="20" t="s">
        <v>597</v>
      </c>
    </row>
    <row r="217" spans="1:11" ht="30" customHeight="1" x14ac:dyDescent="0.25">
      <c r="A217" s="20" t="s">
        <v>217</v>
      </c>
      <c r="B217" s="20" t="s">
        <v>218</v>
      </c>
      <c r="C217" s="20" t="s">
        <v>609</v>
      </c>
      <c r="D217" s="20" t="s">
        <v>610</v>
      </c>
      <c r="E217" s="20" t="s">
        <v>595</v>
      </c>
      <c r="F217" s="20" t="s">
        <v>833</v>
      </c>
      <c r="G217" s="20" t="s">
        <v>71</v>
      </c>
      <c r="H217" s="20" t="s">
        <v>71</v>
      </c>
      <c r="I217" s="20" t="s">
        <v>72</v>
      </c>
      <c r="J217" s="20" t="s">
        <v>25</v>
      </c>
      <c r="K217" s="20" t="s">
        <v>597</v>
      </c>
    </row>
    <row r="218" spans="1:11" ht="30" customHeight="1" x14ac:dyDescent="0.25">
      <c r="A218" s="20" t="s">
        <v>221</v>
      </c>
      <c r="B218" s="20" t="s">
        <v>222</v>
      </c>
      <c r="C218" s="20" t="s">
        <v>679</v>
      </c>
      <c r="D218" s="20" t="s">
        <v>680</v>
      </c>
      <c r="E218" s="20" t="s">
        <v>681</v>
      </c>
      <c r="F218" s="20" t="s">
        <v>834</v>
      </c>
      <c r="G218" s="20" t="s">
        <v>78</v>
      </c>
      <c r="H218" s="20" t="s">
        <v>71</v>
      </c>
      <c r="I218" s="20" t="s">
        <v>72</v>
      </c>
      <c r="J218" s="20" t="s">
        <v>25</v>
      </c>
      <c r="K218" s="20" t="s">
        <v>597</v>
      </c>
    </row>
    <row r="219" spans="1:11" ht="30" customHeight="1" x14ac:dyDescent="0.25">
      <c r="A219" s="20" t="s">
        <v>221</v>
      </c>
      <c r="B219" s="20" t="s">
        <v>222</v>
      </c>
      <c r="C219" s="20" t="s">
        <v>683</v>
      </c>
      <c r="D219" s="20" t="s">
        <v>684</v>
      </c>
      <c r="E219" s="20" t="s">
        <v>685</v>
      </c>
      <c r="F219" s="20" t="s">
        <v>835</v>
      </c>
      <c r="G219" s="20" t="s">
        <v>78</v>
      </c>
      <c r="H219" s="20" t="s">
        <v>71</v>
      </c>
      <c r="I219" s="20" t="s">
        <v>72</v>
      </c>
      <c r="J219" s="20" t="s">
        <v>25</v>
      </c>
      <c r="K219" s="20" t="s">
        <v>597</v>
      </c>
    </row>
    <row r="220" spans="1:11" ht="30" customHeight="1" x14ac:dyDescent="0.25">
      <c r="A220" s="20" t="s">
        <v>221</v>
      </c>
      <c r="B220" s="20" t="s">
        <v>222</v>
      </c>
      <c r="C220" s="20" t="s">
        <v>687</v>
      </c>
      <c r="D220" s="20" t="s">
        <v>688</v>
      </c>
      <c r="E220" s="20" t="s">
        <v>689</v>
      </c>
      <c r="F220" s="20" t="s">
        <v>836</v>
      </c>
      <c r="G220" s="20" t="s">
        <v>78</v>
      </c>
      <c r="H220" s="20" t="s">
        <v>71</v>
      </c>
      <c r="I220" s="20" t="s">
        <v>72</v>
      </c>
      <c r="J220" s="20" t="s">
        <v>25</v>
      </c>
      <c r="K220" s="20" t="s">
        <v>597</v>
      </c>
    </row>
    <row r="221" spans="1:11" ht="30" customHeight="1" x14ac:dyDescent="0.25">
      <c r="A221" s="20" t="s">
        <v>221</v>
      </c>
      <c r="B221" s="20" t="s">
        <v>222</v>
      </c>
      <c r="C221" s="20" t="s">
        <v>601</v>
      </c>
      <c r="D221" s="20" t="s">
        <v>602</v>
      </c>
      <c r="E221" s="20" t="s">
        <v>603</v>
      </c>
      <c r="F221" s="20" t="s">
        <v>837</v>
      </c>
      <c r="G221" s="20" t="s">
        <v>78</v>
      </c>
      <c r="H221" s="20" t="s">
        <v>71</v>
      </c>
      <c r="I221" s="20" t="s">
        <v>72</v>
      </c>
      <c r="J221" s="20" t="s">
        <v>25</v>
      </c>
      <c r="K221" s="20" t="s">
        <v>597</v>
      </c>
    </row>
    <row r="222" spans="1:11" ht="30" customHeight="1" x14ac:dyDescent="0.25">
      <c r="A222" s="20" t="s">
        <v>221</v>
      </c>
      <c r="B222" s="20" t="s">
        <v>222</v>
      </c>
      <c r="C222" s="20" t="s">
        <v>692</v>
      </c>
      <c r="D222" s="20" t="s">
        <v>693</v>
      </c>
      <c r="E222" s="20" t="s">
        <v>689</v>
      </c>
      <c r="F222" s="20" t="s">
        <v>838</v>
      </c>
      <c r="G222" s="20" t="s">
        <v>78</v>
      </c>
      <c r="H222" s="20" t="s">
        <v>71</v>
      </c>
      <c r="I222" s="20" t="s">
        <v>72</v>
      </c>
      <c r="J222" s="20" t="s">
        <v>25</v>
      </c>
      <c r="K222" s="20" t="s">
        <v>597</v>
      </c>
    </row>
    <row r="223" spans="1:11" ht="30" customHeight="1" x14ac:dyDescent="0.25">
      <c r="A223" s="20" t="s">
        <v>221</v>
      </c>
      <c r="B223" s="20" t="s">
        <v>222</v>
      </c>
      <c r="C223" s="20" t="s">
        <v>609</v>
      </c>
      <c r="D223" s="20" t="s">
        <v>610</v>
      </c>
      <c r="E223" s="20" t="s">
        <v>595</v>
      </c>
      <c r="F223" s="20" t="s">
        <v>839</v>
      </c>
      <c r="G223" s="20" t="s">
        <v>78</v>
      </c>
      <c r="H223" s="20" t="s">
        <v>71</v>
      </c>
      <c r="I223" s="20" t="s">
        <v>72</v>
      </c>
      <c r="J223" s="20" t="s">
        <v>25</v>
      </c>
      <c r="K223" s="20" t="s">
        <v>597</v>
      </c>
    </row>
    <row r="224" spans="1:11" ht="30" customHeight="1" x14ac:dyDescent="0.25">
      <c r="A224" s="20" t="s">
        <v>225</v>
      </c>
      <c r="B224" s="20" t="s">
        <v>226</v>
      </c>
      <c r="C224" s="20" t="s">
        <v>679</v>
      </c>
      <c r="D224" s="20" t="s">
        <v>680</v>
      </c>
      <c r="E224" s="20" t="s">
        <v>681</v>
      </c>
      <c r="F224" s="20" t="s">
        <v>840</v>
      </c>
      <c r="G224" s="20" t="s">
        <v>71</v>
      </c>
      <c r="H224" s="20" t="s">
        <v>71</v>
      </c>
      <c r="I224" s="20" t="s">
        <v>72</v>
      </c>
      <c r="J224" s="20" t="s">
        <v>25</v>
      </c>
      <c r="K224" s="20" t="s">
        <v>597</v>
      </c>
    </row>
    <row r="225" spans="1:11" ht="30" customHeight="1" x14ac:dyDescent="0.25">
      <c r="A225" s="20" t="s">
        <v>225</v>
      </c>
      <c r="B225" s="20" t="s">
        <v>226</v>
      </c>
      <c r="C225" s="20" t="s">
        <v>683</v>
      </c>
      <c r="D225" s="20" t="s">
        <v>684</v>
      </c>
      <c r="E225" s="20" t="s">
        <v>685</v>
      </c>
      <c r="F225" s="20" t="s">
        <v>841</v>
      </c>
      <c r="G225" s="20" t="s">
        <v>71</v>
      </c>
      <c r="H225" s="20" t="s">
        <v>71</v>
      </c>
      <c r="I225" s="20" t="s">
        <v>72</v>
      </c>
      <c r="J225" s="20" t="s">
        <v>25</v>
      </c>
      <c r="K225" s="20" t="s">
        <v>597</v>
      </c>
    </row>
    <row r="226" spans="1:11" ht="30" customHeight="1" x14ac:dyDescent="0.25">
      <c r="A226" s="20" t="s">
        <v>225</v>
      </c>
      <c r="B226" s="20" t="s">
        <v>226</v>
      </c>
      <c r="C226" s="20" t="s">
        <v>687</v>
      </c>
      <c r="D226" s="20" t="s">
        <v>688</v>
      </c>
      <c r="E226" s="20" t="s">
        <v>689</v>
      </c>
      <c r="F226" s="20" t="s">
        <v>842</v>
      </c>
      <c r="G226" s="20" t="s">
        <v>71</v>
      </c>
      <c r="H226" s="20" t="s">
        <v>71</v>
      </c>
      <c r="I226" s="20" t="s">
        <v>72</v>
      </c>
      <c r="J226" s="20" t="s">
        <v>25</v>
      </c>
      <c r="K226" s="20" t="s">
        <v>597</v>
      </c>
    </row>
    <row r="227" spans="1:11" ht="30" customHeight="1" x14ac:dyDescent="0.25">
      <c r="A227" s="20" t="s">
        <v>225</v>
      </c>
      <c r="B227" s="20" t="s">
        <v>226</v>
      </c>
      <c r="C227" s="20" t="s">
        <v>601</v>
      </c>
      <c r="D227" s="20" t="s">
        <v>602</v>
      </c>
      <c r="E227" s="20" t="s">
        <v>603</v>
      </c>
      <c r="F227" s="20" t="s">
        <v>843</v>
      </c>
      <c r="G227" s="20" t="s">
        <v>71</v>
      </c>
      <c r="H227" s="20" t="s">
        <v>71</v>
      </c>
      <c r="I227" s="20" t="s">
        <v>72</v>
      </c>
      <c r="J227" s="20" t="s">
        <v>25</v>
      </c>
      <c r="K227" s="20" t="s">
        <v>597</v>
      </c>
    </row>
    <row r="228" spans="1:11" ht="30" customHeight="1" x14ac:dyDescent="0.25">
      <c r="A228" s="20" t="s">
        <v>225</v>
      </c>
      <c r="B228" s="20" t="s">
        <v>226</v>
      </c>
      <c r="C228" s="20" t="s">
        <v>692</v>
      </c>
      <c r="D228" s="20" t="s">
        <v>693</v>
      </c>
      <c r="E228" s="20" t="s">
        <v>689</v>
      </c>
      <c r="F228" s="20" t="s">
        <v>844</v>
      </c>
      <c r="G228" s="20" t="s">
        <v>71</v>
      </c>
      <c r="H228" s="20" t="s">
        <v>71</v>
      </c>
      <c r="I228" s="20" t="s">
        <v>72</v>
      </c>
      <c r="J228" s="20" t="s">
        <v>25</v>
      </c>
      <c r="K228" s="20" t="s">
        <v>597</v>
      </c>
    </row>
    <row r="229" spans="1:11" ht="30" customHeight="1" x14ac:dyDescent="0.25">
      <c r="A229" s="20" t="s">
        <v>225</v>
      </c>
      <c r="B229" s="20" t="s">
        <v>226</v>
      </c>
      <c r="C229" s="20" t="s">
        <v>609</v>
      </c>
      <c r="D229" s="20" t="s">
        <v>610</v>
      </c>
      <c r="E229" s="20" t="s">
        <v>595</v>
      </c>
      <c r="F229" s="20" t="s">
        <v>845</v>
      </c>
      <c r="G229" s="20" t="s">
        <v>71</v>
      </c>
      <c r="H229" s="20" t="s">
        <v>71</v>
      </c>
      <c r="I229" s="20" t="s">
        <v>72</v>
      </c>
      <c r="J229" s="20" t="s">
        <v>25</v>
      </c>
      <c r="K229" s="20" t="s">
        <v>597</v>
      </c>
    </row>
    <row r="230" spans="1:11" ht="30" customHeight="1" x14ac:dyDescent="0.25">
      <c r="A230" s="20" t="s">
        <v>228</v>
      </c>
      <c r="B230" s="20" t="s">
        <v>229</v>
      </c>
      <c r="C230" s="20" t="s">
        <v>594</v>
      </c>
      <c r="D230" s="20" t="s">
        <v>595</v>
      </c>
      <c r="E230" s="20" t="s">
        <v>595</v>
      </c>
      <c r="F230" s="20" t="s">
        <v>846</v>
      </c>
      <c r="G230" s="20" t="s">
        <v>71</v>
      </c>
      <c r="H230" s="20" t="s">
        <v>71</v>
      </c>
      <c r="I230" s="20" t="s">
        <v>72</v>
      </c>
      <c r="J230" s="20" t="s">
        <v>25</v>
      </c>
      <c r="K230" s="20" t="s">
        <v>597</v>
      </c>
    </row>
    <row r="231" spans="1:11" ht="30" customHeight="1" x14ac:dyDescent="0.25">
      <c r="A231" s="20" t="s">
        <v>228</v>
      </c>
      <c r="B231" s="20" t="s">
        <v>229</v>
      </c>
      <c r="C231" s="20" t="s">
        <v>847</v>
      </c>
      <c r="D231" s="20" t="s">
        <v>848</v>
      </c>
      <c r="E231" s="20" t="s">
        <v>849</v>
      </c>
      <c r="F231" s="20" t="s">
        <v>850</v>
      </c>
      <c r="G231" s="20" t="s">
        <v>71</v>
      </c>
      <c r="H231" s="20" t="s">
        <v>71</v>
      </c>
      <c r="I231" s="20" t="s">
        <v>72</v>
      </c>
      <c r="J231" s="20" t="s">
        <v>25</v>
      </c>
      <c r="K231" s="20" t="s">
        <v>597</v>
      </c>
    </row>
    <row r="232" spans="1:11" ht="30" customHeight="1" x14ac:dyDescent="0.25">
      <c r="A232" s="20" t="s">
        <v>228</v>
      </c>
      <c r="B232" s="20" t="s">
        <v>229</v>
      </c>
      <c r="C232" s="20" t="s">
        <v>598</v>
      </c>
      <c r="D232" s="20" t="s">
        <v>599</v>
      </c>
      <c r="E232" s="20" t="s">
        <v>595</v>
      </c>
      <c r="F232" s="20" t="s">
        <v>851</v>
      </c>
      <c r="G232" s="20" t="s">
        <v>71</v>
      </c>
      <c r="H232" s="20" t="s">
        <v>71</v>
      </c>
      <c r="I232" s="20" t="s">
        <v>72</v>
      </c>
      <c r="J232" s="20" t="s">
        <v>25</v>
      </c>
      <c r="K232" s="20" t="s">
        <v>597</v>
      </c>
    </row>
    <row r="233" spans="1:11" ht="30" customHeight="1" x14ac:dyDescent="0.25">
      <c r="A233" s="20" t="s">
        <v>228</v>
      </c>
      <c r="B233" s="20" t="s">
        <v>229</v>
      </c>
      <c r="C233" s="20" t="s">
        <v>687</v>
      </c>
      <c r="D233" s="20" t="s">
        <v>688</v>
      </c>
      <c r="E233" s="20" t="s">
        <v>689</v>
      </c>
      <c r="F233" s="20" t="s">
        <v>852</v>
      </c>
      <c r="G233" s="20" t="s">
        <v>71</v>
      </c>
      <c r="H233" s="20" t="s">
        <v>71</v>
      </c>
      <c r="I233" s="20" t="s">
        <v>72</v>
      </c>
      <c r="J233" s="20" t="s">
        <v>25</v>
      </c>
      <c r="K233" s="20" t="s">
        <v>597</v>
      </c>
    </row>
    <row r="234" spans="1:11" ht="30" customHeight="1" x14ac:dyDescent="0.25">
      <c r="A234" s="20" t="s">
        <v>228</v>
      </c>
      <c r="B234" s="20" t="s">
        <v>229</v>
      </c>
      <c r="C234" s="20" t="s">
        <v>601</v>
      </c>
      <c r="D234" s="20" t="s">
        <v>602</v>
      </c>
      <c r="E234" s="20" t="s">
        <v>603</v>
      </c>
      <c r="F234" s="20" t="s">
        <v>853</v>
      </c>
      <c r="G234" s="20" t="s">
        <v>71</v>
      </c>
      <c r="H234" s="20" t="s">
        <v>71</v>
      </c>
      <c r="I234" s="20" t="s">
        <v>72</v>
      </c>
      <c r="J234" s="20" t="s">
        <v>25</v>
      </c>
      <c r="K234" s="20" t="s">
        <v>597</v>
      </c>
    </row>
    <row r="235" spans="1:11" ht="30" customHeight="1" x14ac:dyDescent="0.25">
      <c r="A235" s="20" t="s">
        <v>228</v>
      </c>
      <c r="B235" s="20" t="s">
        <v>229</v>
      </c>
      <c r="C235" s="20" t="s">
        <v>854</v>
      </c>
      <c r="D235" s="20" t="s">
        <v>855</v>
      </c>
      <c r="E235" s="20" t="s">
        <v>856</v>
      </c>
      <c r="F235" s="20" t="s">
        <v>857</v>
      </c>
      <c r="G235" s="20" t="s">
        <v>71</v>
      </c>
      <c r="H235" s="20" t="s">
        <v>78</v>
      </c>
      <c r="I235" s="20" t="s">
        <v>72</v>
      </c>
      <c r="J235" s="20" t="s">
        <v>25</v>
      </c>
      <c r="K235" s="20" t="s">
        <v>597</v>
      </c>
    </row>
    <row r="236" spans="1:11" ht="30" customHeight="1" x14ac:dyDescent="0.25">
      <c r="A236" s="20" t="s">
        <v>228</v>
      </c>
      <c r="B236" s="20" t="s">
        <v>229</v>
      </c>
      <c r="C236" s="20" t="s">
        <v>858</v>
      </c>
      <c r="D236" s="20" t="s">
        <v>859</v>
      </c>
      <c r="E236" s="20" t="s">
        <v>860</v>
      </c>
      <c r="F236" s="20" t="s">
        <v>861</v>
      </c>
      <c r="G236" s="20" t="s">
        <v>71</v>
      </c>
      <c r="H236" s="20" t="s">
        <v>71</v>
      </c>
      <c r="I236" s="20" t="s">
        <v>72</v>
      </c>
      <c r="J236" s="20" t="s">
        <v>25</v>
      </c>
      <c r="K236" s="20" t="s">
        <v>597</v>
      </c>
    </row>
    <row r="237" spans="1:11" ht="30" customHeight="1" x14ac:dyDescent="0.25">
      <c r="A237" s="20" t="s">
        <v>228</v>
      </c>
      <c r="B237" s="20" t="s">
        <v>229</v>
      </c>
      <c r="C237" s="20" t="s">
        <v>609</v>
      </c>
      <c r="D237" s="20" t="s">
        <v>610</v>
      </c>
      <c r="E237" s="20" t="s">
        <v>595</v>
      </c>
      <c r="F237" s="20" t="s">
        <v>862</v>
      </c>
      <c r="G237" s="20" t="s">
        <v>71</v>
      </c>
      <c r="H237" s="20" t="s">
        <v>71</v>
      </c>
      <c r="I237" s="20" t="s">
        <v>72</v>
      </c>
      <c r="J237" s="20" t="s">
        <v>25</v>
      </c>
      <c r="K237" s="20" t="s">
        <v>597</v>
      </c>
    </row>
    <row r="238" spans="1:11" ht="30" customHeight="1" x14ac:dyDescent="0.25">
      <c r="A238" s="20" t="s">
        <v>232</v>
      </c>
      <c r="B238" s="20" t="s">
        <v>233</v>
      </c>
      <c r="C238" s="20" t="s">
        <v>594</v>
      </c>
      <c r="D238" s="20" t="s">
        <v>595</v>
      </c>
      <c r="E238" s="20" t="s">
        <v>595</v>
      </c>
      <c r="F238" s="20" t="s">
        <v>863</v>
      </c>
      <c r="G238" s="20" t="s">
        <v>71</v>
      </c>
      <c r="H238" s="20" t="s">
        <v>71</v>
      </c>
      <c r="I238" s="20" t="s">
        <v>72</v>
      </c>
      <c r="J238" s="20" t="s">
        <v>25</v>
      </c>
      <c r="K238" s="20" t="s">
        <v>597</v>
      </c>
    </row>
    <row r="239" spans="1:11" ht="30" customHeight="1" x14ac:dyDescent="0.25">
      <c r="A239" s="20" t="s">
        <v>232</v>
      </c>
      <c r="B239" s="20" t="s">
        <v>233</v>
      </c>
      <c r="C239" s="20" t="s">
        <v>847</v>
      </c>
      <c r="D239" s="20" t="s">
        <v>848</v>
      </c>
      <c r="E239" s="20" t="s">
        <v>849</v>
      </c>
      <c r="F239" s="20" t="s">
        <v>864</v>
      </c>
      <c r="G239" s="20" t="s">
        <v>71</v>
      </c>
      <c r="H239" s="20" t="s">
        <v>71</v>
      </c>
      <c r="I239" s="20" t="s">
        <v>72</v>
      </c>
      <c r="J239" s="20" t="s">
        <v>25</v>
      </c>
      <c r="K239" s="20" t="s">
        <v>597</v>
      </c>
    </row>
    <row r="240" spans="1:11" ht="30" customHeight="1" x14ac:dyDescent="0.25">
      <c r="A240" s="20" t="s">
        <v>232</v>
      </c>
      <c r="B240" s="20" t="s">
        <v>233</v>
      </c>
      <c r="C240" s="20" t="s">
        <v>598</v>
      </c>
      <c r="D240" s="20" t="s">
        <v>599</v>
      </c>
      <c r="E240" s="20" t="s">
        <v>595</v>
      </c>
      <c r="F240" s="20" t="s">
        <v>865</v>
      </c>
      <c r="G240" s="20" t="s">
        <v>71</v>
      </c>
      <c r="H240" s="20" t="s">
        <v>71</v>
      </c>
      <c r="I240" s="20" t="s">
        <v>72</v>
      </c>
      <c r="J240" s="20" t="s">
        <v>25</v>
      </c>
      <c r="K240" s="20" t="s">
        <v>597</v>
      </c>
    </row>
    <row r="241" spans="1:11" ht="30" customHeight="1" x14ac:dyDescent="0.25">
      <c r="A241" s="20" t="s">
        <v>232</v>
      </c>
      <c r="B241" s="20" t="s">
        <v>233</v>
      </c>
      <c r="C241" s="20" t="s">
        <v>687</v>
      </c>
      <c r="D241" s="20" t="s">
        <v>688</v>
      </c>
      <c r="E241" s="20" t="s">
        <v>689</v>
      </c>
      <c r="F241" s="20" t="s">
        <v>866</v>
      </c>
      <c r="G241" s="20" t="s">
        <v>71</v>
      </c>
      <c r="H241" s="20" t="s">
        <v>71</v>
      </c>
      <c r="I241" s="20" t="s">
        <v>72</v>
      </c>
      <c r="J241" s="20" t="s">
        <v>25</v>
      </c>
      <c r="K241" s="20" t="s">
        <v>597</v>
      </c>
    </row>
    <row r="242" spans="1:11" ht="30" customHeight="1" x14ac:dyDescent="0.25">
      <c r="A242" s="20" t="s">
        <v>232</v>
      </c>
      <c r="B242" s="20" t="s">
        <v>233</v>
      </c>
      <c r="C242" s="20" t="s">
        <v>601</v>
      </c>
      <c r="D242" s="20" t="s">
        <v>602</v>
      </c>
      <c r="E242" s="20" t="s">
        <v>603</v>
      </c>
      <c r="F242" s="20" t="s">
        <v>867</v>
      </c>
      <c r="G242" s="20" t="s">
        <v>71</v>
      </c>
      <c r="H242" s="20" t="s">
        <v>71</v>
      </c>
      <c r="I242" s="20" t="s">
        <v>72</v>
      </c>
      <c r="J242" s="20" t="s">
        <v>25</v>
      </c>
      <c r="K242" s="20" t="s">
        <v>597</v>
      </c>
    </row>
    <row r="243" spans="1:11" ht="30" customHeight="1" x14ac:dyDescent="0.25">
      <c r="A243" s="20" t="s">
        <v>232</v>
      </c>
      <c r="B243" s="20" t="s">
        <v>233</v>
      </c>
      <c r="C243" s="20" t="s">
        <v>854</v>
      </c>
      <c r="D243" s="20" t="s">
        <v>855</v>
      </c>
      <c r="E243" s="20" t="s">
        <v>856</v>
      </c>
      <c r="F243" s="20" t="s">
        <v>868</v>
      </c>
      <c r="G243" s="20" t="s">
        <v>71</v>
      </c>
      <c r="H243" s="20" t="s">
        <v>78</v>
      </c>
      <c r="I243" s="20" t="s">
        <v>72</v>
      </c>
      <c r="J243" s="20" t="s">
        <v>25</v>
      </c>
      <c r="K243" s="20" t="s">
        <v>597</v>
      </c>
    </row>
    <row r="244" spans="1:11" ht="30" customHeight="1" x14ac:dyDescent="0.25">
      <c r="A244" s="20" t="s">
        <v>232</v>
      </c>
      <c r="B244" s="20" t="s">
        <v>233</v>
      </c>
      <c r="C244" s="20" t="s">
        <v>858</v>
      </c>
      <c r="D244" s="20" t="s">
        <v>859</v>
      </c>
      <c r="E244" s="20" t="s">
        <v>860</v>
      </c>
      <c r="F244" s="20" t="s">
        <v>869</v>
      </c>
      <c r="G244" s="20" t="s">
        <v>71</v>
      </c>
      <c r="H244" s="20" t="s">
        <v>71</v>
      </c>
      <c r="I244" s="20" t="s">
        <v>72</v>
      </c>
      <c r="J244" s="20" t="s">
        <v>25</v>
      </c>
      <c r="K244" s="20" t="s">
        <v>597</v>
      </c>
    </row>
    <row r="245" spans="1:11" ht="30" customHeight="1" x14ac:dyDescent="0.25">
      <c r="A245" s="20" t="s">
        <v>232</v>
      </c>
      <c r="B245" s="20" t="s">
        <v>233</v>
      </c>
      <c r="C245" s="20" t="s">
        <v>609</v>
      </c>
      <c r="D245" s="20" t="s">
        <v>610</v>
      </c>
      <c r="E245" s="20" t="s">
        <v>595</v>
      </c>
      <c r="F245" s="20" t="s">
        <v>870</v>
      </c>
      <c r="G245" s="20" t="s">
        <v>71</v>
      </c>
      <c r="H245" s="20" t="s">
        <v>71</v>
      </c>
      <c r="I245" s="20" t="s">
        <v>72</v>
      </c>
      <c r="J245" s="20" t="s">
        <v>25</v>
      </c>
      <c r="K245" s="20" t="s">
        <v>597</v>
      </c>
    </row>
    <row r="246" spans="1:11" ht="30" customHeight="1" x14ac:dyDescent="0.25">
      <c r="A246" s="20" t="s">
        <v>236</v>
      </c>
      <c r="B246" s="20" t="s">
        <v>237</v>
      </c>
      <c r="C246" s="20" t="s">
        <v>594</v>
      </c>
      <c r="D246" s="20" t="s">
        <v>595</v>
      </c>
      <c r="E246" s="20" t="s">
        <v>595</v>
      </c>
      <c r="F246" s="20" t="s">
        <v>871</v>
      </c>
      <c r="G246" s="20" t="s">
        <v>71</v>
      </c>
      <c r="H246" s="20" t="s">
        <v>71</v>
      </c>
      <c r="I246" s="20" t="s">
        <v>72</v>
      </c>
      <c r="J246" s="20" t="s">
        <v>25</v>
      </c>
      <c r="K246" s="20" t="s">
        <v>597</v>
      </c>
    </row>
    <row r="247" spans="1:11" ht="30" customHeight="1" x14ac:dyDescent="0.25">
      <c r="A247" s="20" t="s">
        <v>236</v>
      </c>
      <c r="B247" s="20" t="s">
        <v>237</v>
      </c>
      <c r="C247" s="20" t="s">
        <v>847</v>
      </c>
      <c r="D247" s="20" t="s">
        <v>848</v>
      </c>
      <c r="E247" s="20" t="s">
        <v>849</v>
      </c>
      <c r="F247" s="20" t="s">
        <v>872</v>
      </c>
      <c r="G247" s="20" t="s">
        <v>71</v>
      </c>
      <c r="H247" s="20" t="s">
        <v>71</v>
      </c>
      <c r="I247" s="20" t="s">
        <v>72</v>
      </c>
      <c r="J247" s="20" t="s">
        <v>25</v>
      </c>
      <c r="K247" s="20" t="s">
        <v>597</v>
      </c>
    </row>
    <row r="248" spans="1:11" ht="30" customHeight="1" x14ac:dyDescent="0.25">
      <c r="A248" s="20" t="s">
        <v>236</v>
      </c>
      <c r="B248" s="20" t="s">
        <v>237</v>
      </c>
      <c r="C248" s="20" t="s">
        <v>598</v>
      </c>
      <c r="D248" s="20" t="s">
        <v>599</v>
      </c>
      <c r="E248" s="20" t="s">
        <v>595</v>
      </c>
      <c r="F248" s="20" t="s">
        <v>873</v>
      </c>
      <c r="G248" s="20" t="s">
        <v>71</v>
      </c>
      <c r="H248" s="20" t="s">
        <v>71</v>
      </c>
      <c r="I248" s="20" t="s">
        <v>72</v>
      </c>
      <c r="J248" s="20" t="s">
        <v>25</v>
      </c>
      <c r="K248" s="20" t="s">
        <v>597</v>
      </c>
    </row>
    <row r="249" spans="1:11" ht="30" customHeight="1" x14ac:dyDescent="0.25">
      <c r="A249" s="20" t="s">
        <v>236</v>
      </c>
      <c r="B249" s="20" t="s">
        <v>237</v>
      </c>
      <c r="C249" s="20" t="s">
        <v>687</v>
      </c>
      <c r="D249" s="20" t="s">
        <v>688</v>
      </c>
      <c r="E249" s="20" t="s">
        <v>689</v>
      </c>
      <c r="F249" s="20" t="s">
        <v>874</v>
      </c>
      <c r="G249" s="20" t="s">
        <v>71</v>
      </c>
      <c r="H249" s="20" t="s">
        <v>71</v>
      </c>
      <c r="I249" s="20" t="s">
        <v>72</v>
      </c>
      <c r="J249" s="20" t="s">
        <v>25</v>
      </c>
      <c r="K249" s="20" t="s">
        <v>597</v>
      </c>
    </row>
    <row r="250" spans="1:11" ht="30" customHeight="1" x14ac:dyDescent="0.25">
      <c r="A250" s="20" t="s">
        <v>236</v>
      </c>
      <c r="B250" s="20" t="s">
        <v>237</v>
      </c>
      <c r="C250" s="20" t="s">
        <v>601</v>
      </c>
      <c r="D250" s="20" t="s">
        <v>602</v>
      </c>
      <c r="E250" s="20" t="s">
        <v>603</v>
      </c>
      <c r="F250" s="20" t="s">
        <v>875</v>
      </c>
      <c r="G250" s="20" t="s">
        <v>71</v>
      </c>
      <c r="H250" s="20" t="s">
        <v>71</v>
      </c>
      <c r="I250" s="20" t="s">
        <v>72</v>
      </c>
      <c r="J250" s="20" t="s">
        <v>25</v>
      </c>
      <c r="K250" s="20" t="s">
        <v>597</v>
      </c>
    </row>
    <row r="251" spans="1:11" ht="30" customHeight="1" x14ac:dyDescent="0.25">
      <c r="A251" s="20" t="s">
        <v>236</v>
      </c>
      <c r="B251" s="20" t="s">
        <v>237</v>
      </c>
      <c r="C251" s="20" t="s">
        <v>854</v>
      </c>
      <c r="D251" s="20" t="s">
        <v>855</v>
      </c>
      <c r="E251" s="20" t="s">
        <v>856</v>
      </c>
      <c r="F251" s="20" t="s">
        <v>876</v>
      </c>
      <c r="G251" s="20" t="s">
        <v>71</v>
      </c>
      <c r="H251" s="20" t="s">
        <v>78</v>
      </c>
      <c r="I251" s="20" t="s">
        <v>72</v>
      </c>
      <c r="J251" s="20" t="s">
        <v>25</v>
      </c>
      <c r="K251" s="20" t="s">
        <v>597</v>
      </c>
    </row>
    <row r="252" spans="1:11" ht="30" customHeight="1" x14ac:dyDescent="0.25">
      <c r="A252" s="20" t="s">
        <v>236</v>
      </c>
      <c r="B252" s="20" t="s">
        <v>237</v>
      </c>
      <c r="C252" s="20" t="s">
        <v>858</v>
      </c>
      <c r="D252" s="20" t="s">
        <v>859</v>
      </c>
      <c r="E252" s="20" t="s">
        <v>860</v>
      </c>
      <c r="F252" s="20" t="s">
        <v>877</v>
      </c>
      <c r="G252" s="20" t="s">
        <v>71</v>
      </c>
      <c r="H252" s="20" t="s">
        <v>71</v>
      </c>
      <c r="I252" s="20" t="s">
        <v>72</v>
      </c>
      <c r="J252" s="20" t="s">
        <v>25</v>
      </c>
      <c r="K252" s="20" t="s">
        <v>597</v>
      </c>
    </row>
    <row r="253" spans="1:11" ht="30" customHeight="1" x14ac:dyDescent="0.25">
      <c r="A253" s="20" t="s">
        <v>236</v>
      </c>
      <c r="B253" s="20" t="s">
        <v>237</v>
      </c>
      <c r="C253" s="20" t="s">
        <v>609</v>
      </c>
      <c r="D253" s="20" t="s">
        <v>610</v>
      </c>
      <c r="E253" s="20" t="s">
        <v>595</v>
      </c>
      <c r="F253" s="20" t="s">
        <v>878</v>
      </c>
      <c r="G253" s="20" t="s">
        <v>71</v>
      </c>
      <c r="H253" s="20" t="s">
        <v>71</v>
      </c>
      <c r="I253" s="20" t="s">
        <v>72</v>
      </c>
      <c r="J253" s="20" t="s">
        <v>25</v>
      </c>
      <c r="K253" s="20" t="s">
        <v>597</v>
      </c>
    </row>
    <row r="254" spans="1:11" ht="30" customHeight="1" x14ac:dyDescent="0.25">
      <c r="A254" s="20" t="s">
        <v>240</v>
      </c>
      <c r="B254" s="20" t="s">
        <v>241</v>
      </c>
      <c r="C254" s="20" t="s">
        <v>594</v>
      </c>
      <c r="D254" s="20" t="s">
        <v>595</v>
      </c>
      <c r="E254" s="20" t="s">
        <v>595</v>
      </c>
      <c r="F254" s="20" t="s">
        <v>879</v>
      </c>
      <c r="G254" s="20" t="s">
        <v>71</v>
      </c>
      <c r="H254" s="20" t="s">
        <v>71</v>
      </c>
      <c r="I254" s="20" t="s">
        <v>72</v>
      </c>
      <c r="J254" s="20" t="s">
        <v>25</v>
      </c>
      <c r="K254" s="20" t="s">
        <v>597</v>
      </c>
    </row>
    <row r="255" spans="1:11" ht="30" customHeight="1" x14ac:dyDescent="0.25">
      <c r="A255" s="20" t="s">
        <v>240</v>
      </c>
      <c r="B255" s="20" t="s">
        <v>241</v>
      </c>
      <c r="C255" s="20" t="s">
        <v>847</v>
      </c>
      <c r="D255" s="20" t="s">
        <v>848</v>
      </c>
      <c r="E255" s="20" t="s">
        <v>849</v>
      </c>
      <c r="F255" s="20" t="s">
        <v>880</v>
      </c>
      <c r="G255" s="20" t="s">
        <v>71</v>
      </c>
      <c r="H255" s="20" t="s">
        <v>71</v>
      </c>
      <c r="I255" s="20" t="s">
        <v>72</v>
      </c>
      <c r="J255" s="20" t="s">
        <v>25</v>
      </c>
      <c r="K255" s="20" t="s">
        <v>597</v>
      </c>
    </row>
    <row r="256" spans="1:11" ht="30" customHeight="1" x14ac:dyDescent="0.25">
      <c r="A256" s="20" t="s">
        <v>240</v>
      </c>
      <c r="B256" s="20" t="s">
        <v>241</v>
      </c>
      <c r="C256" s="20" t="s">
        <v>598</v>
      </c>
      <c r="D256" s="20" t="s">
        <v>599</v>
      </c>
      <c r="E256" s="20" t="s">
        <v>595</v>
      </c>
      <c r="F256" s="20" t="s">
        <v>881</v>
      </c>
      <c r="G256" s="20" t="s">
        <v>71</v>
      </c>
      <c r="H256" s="20" t="s">
        <v>71</v>
      </c>
      <c r="I256" s="20" t="s">
        <v>72</v>
      </c>
      <c r="J256" s="20" t="s">
        <v>25</v>
      </c>
      <c r="K256" s="20" t="s">
        <v>597</v>
      </c>
    </row>
    <row r="257" spans="1:11" ht="30" customHeight="1" x14ac:dyDescent="0.25">
      <c r="A257" s="20" t="s">
        <v>240</v>
      </c>
      <c r="B257" s="20" t="s">
        <v>241</v>
      </c>
      <c r="C257" s="20" t="s">
        <v>687</v>
      </c>
      <c r="D257" s="20" t="s">
        <v>688</v>
      </c>
      <c r="E257" s="20" t="s">
        <v>689</v>
      </c>
      <c r="F257" s="20" t="s">
        <v>882</v>
      </c>
      <c r="G257" s="20" t="s">
        <v>71</v>
      </c>
      <c r="H257" s="20" t="s">
        <v>71</v>
      </c>
      <c r="I257" s="20" t="s">
        <v>72</v>
      </c>
      <c r="J257" s="20" t="s">
        <v>25</v>
      </c>
      <c r="K257" s="20" t="s">
        <v>597</v>
      </c>
    </row>
    <row r="258" spans="1:11" ht="30" customHeight="1" x14ac:dyDescent="0.25">
      <c r="A258" s="20" t="s">
        <v>240</v>
      </c>
      <c r="B258" s="20" t="s">
        <v>241</v>
      </c>
      <c r="C258" s="20" t="s">
        <v>601</v>
      </c>
      <c r="D258" s="20" t="s">
        <v>602</v>
      </c>
      <c r="E258" s="20" t="s">
        <v>603</v>
      </c>
      <c r="F258" s="20" t="s">
        <v>883</v>
      </c>
      <c r="G258" s="20" t="s">
        <v>71</v>
      </c>
      <c r="H258" s="20" t="s">
        <v>71</v>
      </c>
      <c r="I258" s="20" t="s">
        <v>72</v>
      </c>
      <c r="J258" s="20" t="s">
        <v>25</v>
      </c>
      <c r="K258" s="20" t="s">
        <v>597</v>
      </c>
    </row>
    <row r="259" spans="1:11" ht="30" customHeight="1" x14ac:dyDescent="0.25">
      <c r="A259" s="20" t="s">
        <v>240</v>
      </c>
      <c r="B259" s="20" t="s">
        <v>241</v>
      </c>
      <c r="C259" s="20" t="s">
        <v>854</v>
      </c>
      <c r="D259" s="20" t="s">
        <v>855</v>
      </c>
      <c r="E259" s="20" t="s">
        <v>856</v>
      </c>
      <c r="F259" s="20" t="s">
        <v>884</v>
      </c>
      <c r="G259" s="20" t="s">
        <v>71</v>
      </c>
      <c r="H259" s="20" t="s">
        <v>78</v>
      </c>
      <c r="I259" s="20" t="s">
        <v>72</v>
      </c>
      <c r="J259" s="20" t="s">
        <v>25</v>
      </c>
      <c r="K259" s="20" t="s">
        <v>597</v>
      </c>
    </row>
    <row r="260" spans="1:11" ht="30" customHeight="1" x14ac:dyDescent="0.25">
      <c r="A260" s="20" t="s">
        <v>240</v>
      </c>
      <c r="B260" s="20" t="s">
        <v>241</v>
      </c>
      <c r="C260" s="20" t="s">
        <v>858</v>
      </c>
      <c r="D260" s="20" t="s">
        <v>859</v>
      </c>
      <c r="E260" s="20" t="s">
        <v>860</v>
      </c>
      <c r="F260" s="20" t="s">
        <v>885</v>
      </c>
      <c r="G260" s="20" t="s">
        <v>71</v>
      </c>
      <c r="H260" s="20" t="s">
        <v>71</v>
      </c>
      <c r="I260" s="20" t="s">
        <v>72</v>
      </c>
      <c r="J260" s="20" t="s">
        <v>25</v>
      </c>
      <c r="K260" s="20" t="s">
        <v>597</v>
      </c>
    </row>
    <row r="261" spans="1:11" ht="30" customHeight="1" x14ac:dyDescent="0.25">
      <c r="A261" s="20" t="s">
        <v>240</v>
      </c>
      <c r="B261" s="20" t="s">
        <v>241</v>
      </c>
      <c r="C261" s="20" t="s">
        <v>609</v>
      </c>
      <c r="D261" s="20" t="s">
        <v>610</v>
      </c>
      <c r="E261" s="20" t="s">
        <v>595</v>
      </c>
      <c r="F261" s="20" t="s">
        <v>886</v>
      </c>
      <c r="G261" s="20" t="s">
        <v>71</v>
      </c>
      <c r="H261" s="20" t="s">
        <v>71</v>
      </c>
      <c r="I261" s="20" t="s">
        <v>72</v>
      </c>
      <c r="J261" s="20" t="s">
        <v>25</v>
      </c>
      <c r="K261" s="20" t="s">
        <v>597</v>
      </c>
    </row>
    <row r="262" spans="1:11" ht="30" customHeight="1" x14ac:dyDescent="0.25">
      <c r="A262" s="20" t="s">
        <v>243</v>
      </c>
      <c r="B262" s="20" t="s">
        <v>244</v>
      </c>
      <c r="C262" s="20" t="s">
        <v>594</v>
      </c>
      <c r="D262" s="20" t="s">
        <v>595</v>
      </c>
      <c r="E262" s="20" t="s">
        <v>595</v>
      </c>
      <c r="F262" s="20" t="s">
        <v>887</v>
      </c>
      <c r="G262" s="20" t="s">
        <v>71</v>
      </c>
      <c r="H262" s="20" t="s">
        <v>71</v>
      </c>
      <c r="I262" s="20" t="s">
        <v>72</v>
      </c>
      <c r="J262" s="20" t="s">
        <v>25</v>
      </c>
      <c r="K262" s="20" t="s">
        <v>597</v>
      </c>
    </row>
    <row r="263" spans="1:11" ht="30" customHeight="1" x14ac:dyDescent="0.25">
      <c r="A263" s="20" t="s">
        <v>243</v>
      </c>
      <c r="B263" s="20" t="s">
        <v>244</v>
      </c>
      <c r="C263" s="20" t="s">
        <v>847</v>
      </c>
      <c r="D263" s="20" t="s">
        <v>848</v>
      </c>
      <c r="E263" s="20" t="s">
        <v>849</v>
      </c>
      <c r="F263" s="20" t="s">
        <v>888</v>
      </c>
      <c r="G263" s="20" t="s">
        <v>71</v>
      </c>
      <c r="H263" s="20" t="s">
        <v>71</v>
      </c>
      <c r="I263" s="20" t="s">
        <v>72</v>
      </c>
      <c r="J263" s="20" t="s">
        <v>25</v>
      </c>
      <c r="K263" s="20" t="s">
        <v>597</v>
      </c>
    </row>
    <row r="264" spans="1:11" ht="30" customHeight="1" x14ac:dyDescent="0.25">
      <c r="A264" s="20" t="s">
        <v>243</v>
      </c>
      <c r="B264" s="20" t="s">
        <v>244</v>
      </c>
      <c r="C264" s="20" t="s">
        <v>598</v>
      </c>
      <c r="D264" s="20" t="s">
        <v>599</v>
      </c>
      <c r="E264" s="20" t="s">
        <v>595</v>
      </c>
      <c r="F264" s="20" t="s">
        <v>889</v>
      </c>
      <c r="G264" s="20" t="s">
        <v>71</v>
      </c>
      <c r="H264" s="20" t="s">
        <v>71</v>
      </c>
      <c r="I264" s="20" t="s">
        <v>72</v>
      </c>
      <c r="J264" s="20" t="s">
        <v>25</v>
      </c>
      <c r="K264" s="20" t="s">
        <v>597</v>
      </c>
    </row>
    <row r="265" spans="1:11" ht="30" customHeight="1" x14ac:dyDescent="0.25">
      <c r="A265" s="20" t="s">
        <v>243</v>
      </c>
      <c r="B265" s="20" t="s">
        <v>244</v>
      </c>
      <c r="C265" s="20" t="s">
        <v>687</v>
      </c>
      <c r="D265" s="20" t="s">
        <v>688</v>
      </c>
      <c r="E265" s="20" t="s">
        <v>689</v>
      </c>
      <c r="F265" s="20" t="s">
        <v>890</v>
      </c>
      <c r="G265" s="20" t="s">
        <v>71</v>
      </c>
      <c r="H265" s="20" t="s">
        <v>71</v>
      </c>
      <c r="I265" s="20" t="s">
        <v>72</v>
      </c>
      <c r="J265" s="20" t="s">
        <v>25</v>
      </c>
      <c r="K265" s="20" t="s">
        <v>597</v>
      </c>
    </row>
    <row r="266" spans="1:11" ht="30" customHeight="1" x14ac:dyDescent="0.25">
      <c r="A266" s="20" t="s">
        <v>243</v>
      </c>
      <c r="B266" s="20" t="s">
        <v>244</v>
      </c>
      <c r="C266" s="20" t="s">
        <v>601</v>
      </c>
      <c r="D266" s="20" t="s">
        <v>602</v>
      </c>
      <c r="E266" s="20" t="s">
        <v>603</v>
      </c>
      <c r="F266" s="20" t="s">
        <v>891</v>
      </c>
      <c r="G266" s="20" t="s">
        <v>71</v>
      </c>
      <c r="H266" s="20" t="s">
        <v>71</v>
      </c>
      <c r="I266" s="20" t="s">
        <v>72</v>
      </c>
      <c r="J266" s="20" t="s">
        <v>25</v>
      </c>
      <c r="K266" s="20" t="s">
        <v>597</v>
      </c>
    </row>
    <row r="267" spans="1:11" ht="30" customHeight="1" x14ac:dyDescent="0.25">
      <c r="A267" s="20" t="s">
        <v>243</v>
      </c>
      <c r="B267" s="20" t="s">
        <v>244</v>
      </c>
      <c r="C267" s="20" t="s">
        <v>854</v>
      </c>
      <c r="D267" s="20" t="s">
        <v>855</v>
      </c>
      <c r="E267" s="20" t="s">
        <v>856</v>
      </c>
      <c r="F267" s="20" t="s">
        <v>892</v>
      </c>
      <c r="G267" s="20" t="s">
        <v>71</v>
      </c>
      <c r="H267" s="20" t="s">
        <v>78</v>
      </c>
      <c r="I267" s="20" t="s">
        <v>72</v>
      </c>
      <c r="J267" s="20" t="s">
        <v>25</v>
      </c>
      <c r="K267" s="20" t="s">
        <v>597</v>
      </c>
    </row>
    <row r="268" spans="1:11" ht="30" customHeight="1" x14ac:dyDescent="0.25">
      <c r="A268" s="20" t="s">
        <v>243</v>
      </c>
      <c r="B268" s="20" t="s">
        <v>244</v>
      </c>
      <c r="C268" s="20" t="s">
        <v>858</v>
      </c>
      <c r="D268" s="20" t="s">
        <v>859</v>
      </c>
      <c r="E268" s="20" t="s">
        <v>860</v>
      </c>
      <c r="F268" s="20" t="s">
        <v>893</v>
      </c>
      <c r="G268" s="20" t="s">
        <v>71</v>
      </c>
      <c r="H268" s="20" t="s">
        <v>71</v>
      </c>
      <c r="I268" s="20" t="s">
        <v>72</v>
      </c>
      <c r="J268" s="20" t="s">
        <v>25</v>
      </c>
      <c r="K268" s="20" t="s">
        <v>597</v>
      </c>
    </row>
    <row r="269" spans="1:11" ht="30" customHeight="1" x14ac:dyDescent="0.25">
      <c r="A269" s="20" t="s">
        <v>243</v>
      </c>
      <c r="B269" s="20" t="s">
        <v>244</v>
      </c>
      <c r="C269" s="20" t="s">
        <v>609</v>
      </c>
      <c r="D269" s="20" t="s">
        <v>610</v>
      </c>
      <c r="E269" s="20" t="s">
        <v>595</v>
      </c>
      <c r="F269" s="20" t="s">
        <v>894</v>
      </c>
      <c r="G269" s="20" t="s">
        <v>71</v>
      </c>
      <c r="H269" s="20" t="s">
        <v>71</v>
      </c>
      <c r="I269" s="20" t="s">
        <v>72</v>
      </c>
      <c r="J269" s="20" t="s">
        <v>25</v>
      </c>
      <c r="K269" s="20" t="s">
        <v>597</v>
      </c>
    </row>
    <row r="270" spans="1:11" ht="30" customHeight="1" x14ac:dyDescent="0.25">
      <c r="A270" s="20" t="s">
        <v>246</v>
      </c>
      <c r="B270" s="20" t="s">
        <v>247</v>
      </c>
      <c r="C270" s="20" t="s">
        <v>594</v>
      </c>
      <c r="D270" s="20" t="s">
        <v>595</v>
      </c>
      <c r="E270" s="20" t="s">
        <v>595</v>
      </c>
      <c r="F270" s="20" t="s">
        <v>895</v>
      </c>
      <c r="G270" s="20" t="s">
        <v>71</v>
      </c>
      <c r="H270" s="20" t="s">
        <v>71</v>
      </c>
      <c r="I270" s="20" t="s">
        <v>72</v>
      </c>
      <c r="J270" s="20" t="s">
        <v>25</v>
      </c>
      <c r="K270" s="20" t="s">
        <v>597</v>
      </c>
    </row>
    <row r="271" spans="1:11" ht="30" customHeight="1" x14ac:dyDescent="0.25">
      <c r="A271" s="20" t="s">
        <v>246</v>
      </c>
      <c r="B271" s="20" t="s">
        <v>247</v>
      </c>
      <c r="C271" s="20" t="s">
        <v>847</v>
      </c>
      <c r="D271" s="20" t="s">
        <v>848</v>
      </c>
      <c r="E271" s="20" t="s">
        <v>849</v>
      </c>
      <c r="F271" s="20" t="s">
        <v>896</v>
      </c>
      <c r="G271" s="20" t="s">
        <v>71</v>
      </c>
      <c r="H271" s="20" t="s">
        <v>71</v>
      </c>
      <c r="I271" s="20" t="s">
        <v>72</v>
      </c>
      <c r="J271" s="20" t="s">
        <v>25</v>
      </c>
      <c r="K271" s="20" t="s">
        <v>597</v>
      </c>
    </row>
    <row r="272" spans="1:11" ht="30" customHeight="1" x14ac:dyDescent="0.25">
      <c r="A272" s="20" t="s">
        <v>246</v>
      </c>
      <c r="B272" s="20" t="s">
        <v>247</v>
      </c>
      <c r="C272" s="20" t="s">
        <v>598</v>
      </c>
      <c r="D272" s="20" t="s">
        <v>599</v>
      </c>
      <c r="E272" s="20" t="s">
        <v>595</v>
      </c>
      <c r="F272" s="20" t="s">
        <v>897</v>
      </c>
      <c r="G272" s="20" t="s">
        <v>71</v>
      </c>
      <c r="H272" s="20" t="s">
        <v>71</v>
      </c>
      <c r="I272" s="20" t="s">
        <v>72</v>
      </c>
      <c r="J272" s="20" t="s">
        <v>25</v>
      </c>
      <c r="K272" s="20" t="s">
        <v>597</v>
      </c>
    </row>
    <row r="273" spans="1:11" ht="30" customHeight="1" x14ac:dyDescent="0.25">
      <c r="A273" s="20" t="s">
        <v>246</v>
      </c>
      <c r="B273" s="20" t="s">
        <v>247</v>
      </c>
      <c r="C273" s="20" t="s">
        <v>687</v>
      </c>
      <c r="D273" s="20" t="s">
        <v>688</v>
      </c>
      <c r="E273" s="20" t="s">
        <v>689</v>
      </c>
      <c r="F273" s="20" t="s">
        <v>898</v>
      </c>
      <c r="G273" s="20" t="s">
        <v>71</v>
      </c>
      <c r="H273" s="20" t="s">
        <v>71</v>
      </c>
      <c r="I273" s="20" t="s">
        <v>72</v>
      </c>
      <c r="J273" s="20" t="s">
        <v>25</v>
      </c>
      <c r="K273" s="20" t="s">
        <v>597</v>
      </c>
    </row>
    <row r="274" spans="1:11" ht="30" customHeight="1" x14ac:dyDescent="0.25">
      <c r="A274" s="20" t="s">
        <v>246</v>
      </c>
      <c r="B274" s="20" t="s">
        <v>247</v>
      </c>
      <c r="C274" s="20" t="s">
        <v>601</v>
      </c>
      <c r="D274" s="20" t="s">
        <v>602</v>
      </c>
      <c r="E274" s="20" t="s">
        <v>603</v>
      </c>
      <c r="F274" s="20" t="s">
        <v>899</v>
      </c>
      <c r="G274" s="20" t="s">
        <v>71</v>
      </c>
      <c r="H274" s="20" t="s">
        <v>71</v>
      </c>
      <c r="I274" s="20" t="s">
        <v>72</v>
      </c>
      <c r="J274" s="20" t="s">
        <v>25</v>
      </c>
      <c r="K274" s="20" t="s">
        <v>597</v>
      </c>
    </row>
    <row r="275" spans="1:11" ht="30" customHeight="1" x14ac:dyDescent="0.25">
      <c r="A275" s="20" t="s">
        <v>246</v>
      </c>
      <c r="B275" s="20" t="s">
        <v>247</v>
      </c>
      <c r="C275" s="20" t="s">
        <v>854</v>
      </c>
      <c r="D275" s="20" t="s">
        <v>855</v>
      </c>
      <c r="E275" s="20" t="s">
        <v>856</v>
      </c>
      <c r="F275" s="20" t="s">
        <v>900</v>
      </c>
      <c r="G275" s="20" t="s">
        <v>71</v>
      </c>
      <c r="H275" s="20" t="s">
        <v>78</v>
      </c>
      <c r="I275" s="20" t="s">
        <v>72</v>
      </c>
      <c r="J275" s="20" t="s">
        <v>25</v>
      </c>
      <c r="K275" s="20" t="s">
        <v>597</v>
      </c>
    </row>
    <row r="276" spans="1:11" ht="30" customHeight="1" x14ac:dyDescent="0.25">
      <c r="A276" s="20" t="s">
        <v>246</v>
      </c>
      <c r="B276" s="20" t="s">
        <v>247</v>
      </c>
      <c r="C276" s="20" t="s">
        <v>858</v>
      </c>
      <c r="D276" s="20" t="s">
        <v>859</v>
      </c>
      <c r="E276" s="20" t="s">
        <v>860</v>
      </c>
      <c r="F276" s="20" t="s">
        <v>901</v>
      </c>
      <c r="G276" s="20" t="s">
        <v>71</v>
      </c>
      <c r="H276" s="20" t="s">
        <v>71</v>
      </c>
      <c r="I276" s="20" t="s">
        <v>72</v>
      </c>
      <c r="J276" s="20" t="s">
        <v>25</v>
      </c>
      <c r="K276" s="20" t="s">
        <v>597</v>
      </c>
    </row>
    <row r="277" spans="1:11" ht="30" customHeight="1" x14ac:dyDescent="0.25">
      <c r="A277" s="20" t="s">
        <v>246</v>
      </c>
      <c r="B277" s="20" t="s">
        <v>247</v>
      </c>
      <c r="C277" s="20" t="s">
        <v>609</v>
      </c>
      <c r="D277" s="20" t="s">
        <v>610</v>
      </c>
      <c r="E277" s="20" t="s">
        <v>595</v>
      </c>
      <c r="F277" s="20" t="s">
        <v>902</v>
      </c>
      <c r="G277" s="20" t="s">
        <v>71</v>
      </c>
      <c r="H277" s="20" t="s">
        <v>71</v>
      </c>
      <c r="I277" s="20" t="s">
        <v>72</v>
      </c>
      <c r="J277" s="20" t="s">
        <v>25</v>
      </c>
      <c r="K277" s="20" t="s">
        <v>597</v>
      </c>
    </row>
    <row r="278" spans="1:11" ht="30" customHeight="1" x14ac:dyDescent="0.25">
      <c r="A278" s="20" t="s">
        <v>249</v>
      </c>
      <c r="B278" s="20" t="s">
        <v>250</v>
      </c>
      <c r="C278" s="20" t="s">
        <v>594</v>
      </c>
      <c r="D278" s="20" t="s">
        <v>595</v>
      </c>
      <c r="E278" s="20" t="s">
        <v>595</v>
      </c>
      <c r="F278" s="20" t="s">
        <v>903</v>
      </c>
      <c r="G278" s="20" t="s">
        <v>78</v>
      </c>
      <c r="H278" s="20" t="s">
        <v>71</v>
      </c>
      <c r="I278" s="20" t="s">
        <v>72</v>
      </c>
      <c r="J278" s="20" t="s">
        <v>25</v>
      </c>
      <c r="K278" s="20" t="s">
        <v>597</v>
      </c>
    </row>
    <row r="279" spans="1:11" ht="30" customHeight="1" x14ac:dyDescent="0.25">
      <c r="A279" s="20" t="s">
        <v>249</v>
      </c>
      <c r="B279" s="20" t="s">
        <v>250</v>
      </c>
      <c r="C279" s="20" t="s">
        <v>847</v>
      </c>
      <c r="D279" s="20" t="s">
        <v>848</v>
      </c>
      <c r="E279" s="20" t="s">
        <v>849</v>
      </c>
      <c r="F279" s="20" t="s">
        <v>904</v>
      </c>
      <c r="G279" s="20" t="s">
        <v>78</v>
      </c>
      <c r="H279" s="20" t="s">
        <v>71</v>
      </c>
      <c r="I279" s="20" t="s">
        <v>72</v>
      </c>
      <c r="J279" s="20" t="s">
        <v>25</v>
      </c>
      <c r="K279" s="20" t="s">
        <v>597</v>
      </c>
    </row>
    <row r="280" spans="1:11" ht="30" customHeight="1" x14ac:dyDescent="0.25">
      <c r="A280" s="20" t="s">
        <v>249</v>
      </c>
      <c r="B280" s="20" t="s">
        <v>250</v>
      </c>
      <c r="C280" s="20" t="s">
        <v>598</v>
      </c>
      <c r="D280" s="20" t="s">
        <v>599</v>
      </c>
      <c r="E280" s="20" t="s">
        <v>595</v>
      </c>
      <c r="F280" s="20" t="s">
        <v>905</v>
      </c>
      <c r="G280" s="20" t="s">
        <v>78</v>
      </c>
      <c r="H280" s="20" t="s">
        <v>71</v>
      </c>
      <c r="I280" s="20" t="s">
        <v>72</v>
      </c>
      <c r="J280" s="20" t="s">
        <v>25</v>
      </c>
      <c r="K280" s="20" t="s">
        <v>597</v>
      </c>
    </row>
    <row r="281" spans="1:11" ht="30" customHeight="1" x14ac:dyDescent="0.25">
      <c r="A281" s="20" t="s">
        <v>249</v>
      </c>
      <c r="B281" s="20" t="s">
        <v>250</v>
      </c>
      <c r="C281" s="20" t="s">
        <v>687</v>
      </c>
      <c r="D281" s="20" t="s">
        <v>688</v>
      </c>
      <c r="E281" s="20" t="s">
        <v>689</v>
      </c>
      <c r="F281" s="20" t="s">
        <v>906</v>
      </c>
      <c r="G281" s="20" t="s">
        <v>78</v>
      </c>
      <c r="H281" s="20" t="s">
        <v>71</v>
      </c>
      <c r="I281" s="20" t="s">
        <v>72</v>
      </c>
      <c r="J281" s="20" t="s">
        <v>25</v>
      </c>
      <c r="K281" s="20" t="s">
        <v>597</v>
      </c>
    </row>
    <row r="282" spans="1:11" ht="30" customHeight="1" x14ac:dyDescent="0.25">
      <c r="A282" s="20" t="s">
        <v>249</v>
      </c>
      <c r="B282" s="20" t="s">
        <v>250</v>
      </c>
      <c r="C282" s="20" t="s">
        <v>601</v>
      </c>
      <c r="D282" s="20" t="s">
        <v>602</v>
      </c>
      <c r="E282" s="20" t="s">
        <v>603</v>
      </c>
      <c r="F282" s="20" t="s">
        <v>907</v>
      </c>
      <c r="G282" s="20" t="s">
        <v>78</v>
      </c>
      <c r="H282" s="20" t="s">
        <v>71</v>
      </c>
      <c r="I282" s="20" t="s">
        <v>72</v>
      </c>
      <c r="J282" s="20" t="s">
        <v>25</v>
      </c>
      <c r="K282" s="20" t="s">
        <v>597</v>
      </c>
    </row>
    <row r="283" spans="1:11" ht="30" customHeight="1" x14ac:dyDescent="0.25">
      <c r="A283" s="20" t="s">
        <v>249</v>
      </c>
      <c r="B283" s="20" t="s">
        <v>250</v>
      </c>
      <c r="C283" s="20" t="s">
        <v>854</v>
      </c>
      <c r="D283" s="20" t="s">
        <v>855</v>
      </c>
      <c r="E283" s="20" t="s">
        <v>856</v>
      </c>
      <c r="F283" s="20" t="s">
        <v>908</v>
      </c>
      <c r="G283" s="20" t="s">
        <v>78</v>
      </c>
      <c r="H283" s="20" t="s">
        <v>78</v>
      </c>
      <c r="I283" s="20" t="s">
        <v>72</v>
      </c>
      <c r="J283" s="20" t="s">
        <v>25</v>
      </c>
      <c r="K283" s="20" t="s">
        <v>597</v>
      </c>
    </row>
    <row r="284" spans="1:11" ht="30" customHeight="1" x14ac:dyDescent="0.25">
      <c r="A284" s="20" t="s">
        <v>249</v>
      </c>
      <c r="B284" s="20" t="s">
        <v>250</v>
      </c>
      <c r="C284" s="20" t="s">
        <v>858</v>
      </c>
      <c r="D284" s="20" t="s">
        <v>859</v>
      </c>
      <c r="E284" s="20" t="s">
        <v>860</v>
      </c>
      <c r="F284" s="20" t="s">
        <v>909</v>
      </c>
      <c r="G284" s="20" t="s">
        <v>78</v>
      </c>
      <c r="H284" s="20" t="s">
        <v>71</v>
      </c>
      <c r="I284" s="20" t="s">
        <v>72</v>
      </c>
      <c r="J284" s="20" t="s">
        <v>25</v>
      </c>
      <c r="K284" s="20" t="s">
        <v>597</v>
      </c>
    </row>
    <row r="285" spans="1:11" ht="30" customHeight="1" x14ac:dyDescent="0.25">
      <c r="A285" s="20" t="s">
        <v>249</v>
      </c>
      <c r="B285" s="20" t="s">
        <v>250</v>
      </c>
      <c r="C285" s="20" t="s">
        <v>609</v>
      </c>
      <c r="D285" s="20" t="s">
        <v>610</v>
      </c>
      <c r="E285" s="20" t="s">
        <v>595</v>
      </c>
      <c r="F285" s="20" t="s">
        <v>910</v>
      </c>
      <c r="G285" s="20" t="s">
        <v>78</v>
      </c>
      <c r="H285" s="20" t="s">
        <v>71</v>
      </c>
      <c r="I285" s="20" t="s">
        <v>72</v>
      </c>
      <c r="J285" s="20" t="s">
        <v>25</v>
      </c>
      <c r="K285" s="20" t="s">
        <v>597</v>
      </c>
    </row>
    <row r="286" spans="1:11" ht="30" customHeight="1" x14ac:dyDescent="0.25">
      <c r="A286" s="20" t="s">
        <v>253</v>
      </c>
      <c r="B286" s="20" t="s">
        <v>254</v>
      </c>
      <c r="C286" s="20" t="s">
        <v>594</v>
      </c>
      <c r="D286" s="20" t="s">
        <v>595</v>
      </c>
      <c r="E286" s="20" t="s">
        <v>595</v>
      </c>
      <c r="F286" s="20" t="s">
        <v>911</v>
      </c>
      <c r="G286" s="20" t="s">
        <v>78</v>
      </c>
      <c r="H286" s="20" t="s">
        <v>71</v>
      </c>
      <c r="I286" s="20" t="s">
        <v>72</v>
      </c>
      <c r="J286" s="20" t="s">
        <v>25</v>
      </c>
      <c r="K286" s="20" t="s">
        <v>597</v>
      </c>
    </row>
    <row r="287" spans="1:11" ht="30" customHeight="1" x14ac:dyDescent="0.25">
      <c r="A287" s="20" t="s">
        <v>253</v>
      </c>
      <c r="B287" s="20" t="s">
        <v>254</v>
      </c>
      <c r="C287" s="20" t="s">
        <v>847</v>
      </c>
      <c r="D287" s="20" t="s">
        <v>848</v>
      </c>
      <c r="E287" s="20" t="s">
        <v>849</v>
      </c>
      <c r="F287" s="20" t="s">
        <v>912</v>
      </c>
      <c r="G287" s="20" t="s">
        <v>78</v>
      </c>
      <c r="H287" s="20" t="s">
        <v>71</v>
      </c>
      <c r="I287" s="20" t="s">
        <v>72</v>
      </c>
      <c r="J287" s="20" t="s">
        <v>25</v>
      </c>
      <c r="K287" s="20" t="s">
        <v>597</v>
      </c>
    </row>
    <row r="288" spans="1:11" ht="30" customHeight="1" x14ac:dyDescent="0.25">
      <c r="A288" s="20" t="s">
        <v>253</v>
      </c>
      <c r="B288" s="20" t="s">
        <v>254</v>
      </c>
      <c r="C288" s="20" t="s">
        <v>598</v>
      </c>
      <c r="D288" s="20" t="s">
        <v>599</v>
      </c>
      <c r="E288" s="20" t="s">
        <v>595</v>
      </c>
      <c r="F288" s="20" t="s">
        <v>913</v>
      </c>
      <c r="G288" s="20" t="s">
        <v>78</v>
      </c>
      <c r="H288" s="20" t="s">
        <v>71</v>
      </c>
      <c r="I288" s="20" t="s">
        <v>72</v>
      </c>
      <c r="J288" s="20" t="s">
        <v>25</v>
      </c>
      <c r="K288" s="20" t="s">
        <v>597</v>
      </c>
    </row>
    <row r="289" spans="1:11" ht="30" customHeight="1" x14ac:dyDescent="0.25">
      <c r="A289" s="20" t="s">
        <v>253</v>
      </c>
      <c r="B289" s="20" t="s">
        <v>254</v>
      </c>
      <c r="C289" s="20" t="s">
        <v>687</v>
      </c>
      <c r="D289" s="20" t="s">
        <v>688</v>
      </c>
      <c r="E289" s="20" t="s">
        <v>689</v>
      </c>
      <c r="F289" s="20" t="s">
        <v>914</v>
      </c>
      <c r="G289" s="20" t="s">
        <v>78</v>
      </c>
      <c r="H289" s="20" t="s">
        <v>71</v>
      </c>
      <c r="I289" s="20" t="s">
        <v>72</v>
      </c>
      <c r="J289" s="20" t="s">
        <v>25</v>
      </c>
      <c r="K289" s="20" t="s">
        <v>597</v>
      </c>
    </row>
    <row r="290" spans="1:11" ht="30" customHeight="1" x14ac:dyDescent="0.25">
      <c r="A290" s="20" t="s">
        <v>253</v>
      </c>
      <c r="B290" s="20" t="s">
        <v>254</v>
      </c>
      <c r="C290" s="20" t="s">
        <v>601</v>
      </c>
      <c r="D290" s="20" t="s">
        <v>602</v>
      </c>
      <c r="E290" s="20" t="s">
        <v>603</v>
      </c>
      <c r="F290" s="20" t="s">
        <v>915</v>
      </c>
      <c r="G290" s="20" t="s">
        <v>78</v>
      </c>
      <c r="H290" s="20" t="s">
        <v>71</v>
      </c>
      <c r="I290" s="20" t="s">
        <v>72</v>
      </c>
      <c r="J290" s="20" t="s">
        <v>25</v>
      </c>
      <c r="K290" s="20" t="s">
        <v>597</v>
      </c>
    </row>
    <row r="291" spans="1:11" ht="30" customHeight="1" x14ac:dyDescent="0.25">
      <c r="A291" s="20" t="s">
        <v>253</v>
      </c>
      <c r="B291" s="20" t="s">
        <v>254</v>
      </c>
      <c r="C291" s="20" t="s">
        <v>854</v>
      </c>
      <c r="D291" s="20" t="s">
        <v>855</v>
      </c>
      <c r="E291" s="20" t="s">
        <v>856</v>
      </c>
      <c r="F291" s="20" t="s">
        <v>916</v>
      </c>
      <c r="G291" s="20" t="s">
        <v>78</v>
      </c>
      <c r="H291" s="20" t="s">
        <v>78</v>
      </c>
      <c r="I291" s="20" t="s">
        <v>72</v>
      </c>
      <c r="J291" s="20" t="s">
        <v>25</v>
      </c>
      <c r="K291" s="20" t="s">
        <v>597</v>
      </c>
    </row>
    <row r="292" spans="1:11" ht="30" customHeight="1" x14ac:dyDescent="0.25">
      <c r="A292" s="20" t="s">
        <v>253</v>
      </c>
      <c r="B292" s="20" t="s">
        <v>254</v>
      </c>
      <c r="C292" s="20" t="s">
        <v>858</v>
      </c>
      <c r="D292" s="20" t="s">
        <v>859</v>
      </c>
      <c r="E292" s="20" t="s">
        <v>860</v>
      </c>
      <c r="F292" s="20" t="s">
        <v>917</v>
      </c>
      <c r="G292" s="20" t="s">
        <v>78</v>
      </c>
      <c r="H292" s="20" t="s">
        <v>71</v>
      </c>
      <c r="I292" s="20" t="s">
        <v>72</v>
      </c>
      <c r="J292" s="20" t="s">
        <v>25</v>
      </c>
      <c r="K292" s="20" t="s">
        <v>597</v>
      </c>
    </row>
    <row r="293" spans="1:11" ht="30" customHeight="1" x14ac:dyDescent="0.25">
      <c r="A293" s="20" t="s">
        <v>253</v>
      </c>
      <c r="B293" s="20" t="s">
        <v>254</v>
      </c>
      <c r="C293" s="20" t="s">
        <v>609</v>
      </c>
      <c r="D293" s="20" t="s">
        <v>610</v>
      </c>
      <c r="E293" s="20" t="s">
        <v>595</v>
      </c>
      <c r="F293" s="20" t="s">
        <v>918</v>
      </c>
      <c r="G293" s="20" t="s">
        <v>78</v>
      </c>
      <c r="H293" s="20" t="s">
        <v>71</v>
      </c>
      <c r="I293" s="20" t="s">
        <v>72</v>
      </c>
      <c r="J293" s="20" t="s">
        <v>25</v>
      </c>
      <c r="K293" s="20" t="s">
        <v>597</v>
      </c>
    </row>
    <row r="294" spans="1:11" ht="30" customHeight="1" x14ac:dyDescent="0.25">
      <c r="A294" s="20" t="s">
        <v>256</v>
      </c>
      <c r="B294" s="20" t="s">
        <v>257</v>
      </c>
      <c r="C294" s="20" t="s">
        <v>598</v>
      </c>
      <c r="D294" s="20" t="s">
        <v>599</v>
      </c>
      <c r="E294" s="20" t="s">
        <v>595</v>
      </c>
      <c r="F294" s="20" t="s">
        <v>919</v>
      </c>
      <c r="G294" s="20" t="s">
        <v>71</v>
      </c>
      <c r="H294" s="20" t="s">
        <v>71</v>
      </c>
      <c r="I294" s="20" t="s">
        <v>72</v>
      </c>
      <c r="J294" s="20" t="s">
        <v>25</v>
      </c>
      <c r="K294" s="20" t="s">
        <v>597</v>
      </c>
    </row>
    <row r="295" spans="1:11" ht="30" customHeight="1" x14ac:dyDescent="0.25">
      <c r="A295" s="20" t="s">
        <v>256</v>
      </c>
      <c r="B295" s="20" t="s">
        <v>257</v>
      </c>
      <c r="C295" s="20" t="s">
        <v>687</v>
      </c>
      <c r="D295" s="20" t="s">
        <v>688</v>
      </c>
      <c r="E295" s="20" t="s">
        <v>689</v>
      </c>
      <c r="F295" s="20" t="s">
        <v>920</v>
      </c>
      <c r="G295" s="20" t="s">
        <v>71</v>
      </c>
      <c r="H295" s="20" t="s">
        <v>71</v>
      </c>
      <c r="I295" s="20" t="s">
        <v>72</v>
      </c>
      <c r="J295" s="20" t="s">
        <v>25</v>
      </c>
      <c r="K295" s="20" t="s">
        <v>597</v>
      </c>
    </row>
    <row r="296" spans="1:11" ht="30" customHeight="1" x14ac:dyDescent="0.25">
      <c r="A296" s="20" t="s">
        <v>256</v>
      </c>
      <c r="B296" s="20" t="s">
        <v>257</v>
      </c>
      <c r="C296" s="20" t="s">
        <v>601</v>
      </c>
      <c r="D296" s="20" t="s">
        <v>602</v>
      </c>
      <c r="E296" s="20" t="s">
        <v>603</v>
      </c>
      <c r="F296" s="20" t="s">
        <v>921</v>
      </c>
      <c r="G296" s="20" t="s">
        <v>71</v>
      </c>
      <c r="H296" s="20" t="s">
        <v>71</v>
      </c>
      <c r="I296" s="20" t="s">
        <v>72</v>
      </c>
      <c r="J296" s="20" t="s">
        <v>25</v>
      </c>
      <c r="K296" s="20" t="s">
        <v>597</v>
      </c>
    </row>
    <row r="297" spans="1:11" ht="30" customHeight="1" x14ac:dyDescent="0.25">
      <c r="A297" s="20" t="s">
        <v>256</v>
      </c>
      <c r="B297" s="20" t="s">
        <v>257</v>
      </c>
      <c r="C297" s="20" t="s">
        <v>854</v>
      </c>
      <c r="D297" s="20" t="s">
        <v>855</v>
      </c>
      <c r="E297" s="20" t="s">
        <v>856</v>
      </c>
      <c r="F297" s="20" t="s">
        <v>922</v>
      </c>
      <c r="G297" s="20" t="s">
        <v>71</v>
      </c>
      <c r="H297" s="20" t="s">
        <v>78</v>
      </c>
      <c r="I297" s="20" t="s">
        <v>72</v>
      </c>
      <c r="J297" s="20" t="s">
        <v>25</v>
      </c>
      <c r="K297" s="20" t="s">
        <v>597</v>
      </c>
    </row>
    <row r="298" spans="1:11" ht="30" customHeight="1" x14ac:dyDescent="0.25">
      <c r="A298" s="20" t="s">
        <v>256</v>
      </c>
      <c r="B298" s="20" t="s">
        <v>257</v>
      </c>
      <c r="C298" s="20" t="s">
        <v>605</v>
      </c>
      <c r="D298" s="20" t="s">
        <v>606</v>
      </c>
      <c r="E298" s="20" t="s">
        <v>607</v>
      </c>
      <c r="F298" s="20" t="s">
        <v>923</v>
      </c>
      <c r="G298" s="20" t="s">
        <v>71</v>
      </c>
      <c r="H298" s="20" t="s">
        <v>78</v>
      </c>
      <c r="I298" s="20" t="s">
        <v>72</v>
      </c>
      <c r="J298" s="20" t="s">
        <v>25</v>
      </c>
      <c r="K298" s="20" t="s">
        <v>597</v>
      </c>
    </row>
    <row r="299" spans="1:11" ht="30" customHeight="1" x14ac:dyDescent="0.25">
      <c r="A299" s="20" t="s">
        <v>256</v>
      </c>
      <c r="B299" s="20" t="s">
        <v>257</v>
      </c>
      <c r="C299" s="20" t="s">
        <v>609</v>
      </c>
      <c r="D299" s="20" t="s">
        <v>610</v>
      </c>
      <c r="E299" s="20" t="s">
        <v>595</v>
      </c>
      <c r="F299" s="20" t="s">
        <v>924</v>
      </c>
      <c r="G299" s="20" t="s">
        <v>71</v>
      </c>
      <c r="H299" s="20" t="s">
        <v>71</v>
      </c>
      <c r="I299" s="20" t="s">
        <v>72</v>
      </c>
      <c r="J299" s="20" t="s">
        <v>25</v>
      </c>
      <c r="K299" s="20" t="s">
        <v>597</v>
      </c>
    </row>
    <row r="300" spans="1:11" ht="30" customHeight="1" x14ac:dyDescent="0.25">
      <c r="A300" s="20" t="s">
        <v>260</v>
      </c>
      <c r="B300" s="20" t="s">
        <v>261</v>
      </c>
      <c r="C300" s="20" t="s">
        <v>598</v>
      </c>
      <c r="D300" s="20" t="s">
        <v>599</v>
      </c>
      <c r="E300" s="20" t="s">
        <v>595</v>
      </c>
      <c r="F300" s="20" t="s">
        <v>925</v>
      </c>
      <c r="G300" s="20" t="s">
        <v>71</v>
      </c>
      <c r="H300" s="20" t="s">
        <v>71</v>
      </c>
      <c r="I300" s="20" t="s">
        <v>72</v>
      </c>
      <c r="J300" s="20" t="s">
        <v>25</v>
      </c>
      <c r="K300" s="20" t="s">
        <v>597</v>
      </c>
    </row>
    <row r="301" spans="1:11" ht="30" customHeight="1" x14ac:dyDescent="0.25">
      <c r="A301" s="20" t="s">
        <v>260</v>
      </c>
      <c r="B301" s="20" t="s">
        <v>261</v>
      </c>
      <c r="C301" s="20" t="s">
        <v>687</v>
      </c>
      <c r="D301" s="20" t="s">
        <v>688</v>
      </c>
      <c r="E301" s="20" t="s">
        <v>689</v>
      </c>
      <c r="F301" s="20" t="s">
        <v>926</v>
      </c>
      <c r="G301" s="20" t="s">
        <v>71</v>
      </c>
      <c r="H301" s="20" t="s">
        <v>71</v>
      </c>
      <c r="I301" s="20" t="s">
        <v>72</v>
      </c>
      <c r="J301" s="20" t="s">
        <v>25</v>
      </c>
      <c r="K301" s="20" t="s">
        <v>597</v>
      </c>
    </row>
    <row r="302" spans="1:11" ht="30" customHeight="1" x14ac:dyDescent="0.25">
      <c r="A302" s="20" t="s">
        <v>260</v>
      </c>
      <c r="B302" s="20" t="s">
        <v>261</v>
      </c>
      <c r="C302" s="20" t="s">
        <v>601</v>
      </c>
      <c r="D302" s="20" t="s">
        <v>602</v>
      </c>
      <c r="E302" s="20" t="s">
        <v>603</v>
      </c>
      <c r="F302" s="20" t="s">
        <v>927</v>
      </c>
      <c r="G302" s="20" t="s">
        <v>71</v>
      </c>
      <c r="H302" s="20" t="s">
        <v>71</v>
      </c>
      <c r="I302" s="20" t="s">
        <v>72</v>
      </c>
      <c r="J302" s="20" t="s">
        <v>25</v>
      </c>
      <c r="K302" s="20" t="s">
        <v>597</v>
      </c>
    </row>
    <row r="303" spans="1:11" ht="30" customHeight="1" x14ac:dyDescent="0.25">
      <c r="A303" s="20" t="s">
        <v>260</v>
      </c>
      <c r="B303" s="20" t="s">
        <v>261</v>
      </c>
      <c r="C303" s="20" t="s">
        <v>854</v>
      </c>
      <c r="D303" s="20" t="s">
        <v>855</v>
      </c>
      <c r="E303" s="20" t="s">
        <v>856</v>
      </c>
      <c r="F303" s="20" t="s">
        <v>928</v>
      </c>
      <c r="G303" s="20" t="s">
        <v>71</v>
      </c>
      <c r="H303" s="20" t="s">
        <v>78</v>
      </c>
      <c r="I303" s="20" t="s">
        <v>72</v>
      </c>
      <c r="J303" s="20" t="s">
        <v>25</v>
      </c>
      <c r="K303" s="20" t="s">
        <v>597</v>
      </c>
    </row>
    <row r="304" spans="1:11" ht="30" customHeight="1" x14ac:dyDescent="0.25">
      <c r="A304" s="20" t="s">
        <v>260</v>
      </c>
      <c r="B304" s="20" t="s">
        <v>261</v>
      </c>
      <c r="C304" s="20" t="s">
        <v>605</v>
      </c>
      <c r="D304" s="20" t="s">
        <v>606</v>
      </c>
      <c r="E304" s="20" t="s">
        <v>607</v>
      </c>
      <c r="F304" s="20" t="s">
        <v>929</v>
      </c>
      <c r="G304" s="20" t="s">
        <v>71</v>
      </c>
      <c r="H304" s="20" t="s">
        <v>78</v>
      </c>
      <c r="I304" s="20" t="s">
        <v>72</v>
      </c>
      <c r="J304" s="20" t="s">
        <v>25</v>
      </c>
      <c r="K304" s="20" t="s">
        <v>597</v>
      </c>
    </row>
    <row r="305" spans="1:11" ht="30" customHeight="1" x14ac:dyDescent="0.25">
      <c r="A305" s="20" t="s">
        <v>260</v>
      </c>
      <c r="B305" s="20" t="s">
        <v>261</v>
      </c>
      <c r="C305" s="20" t="s">
        <v>609</v>
      </c>
      <c r="D305" s="20" t="s">
        <v>610</v>
      </c>
      <c r="E305" s="20" t="s">
        <v>595</v>
      </c>
      <c r="F305" s="20" t="s">
        <v>930</v>
      </c>
      <c r="G305" s="20" t="s">
        <v>71</v>
      </c>
      <c r="H305" s="20" t="s">
        <v>71</v>
      </c>
      <c r="I305" s="20" t="s">
        <v>72</v>
      </c>
      <c r="J305" s="20" t="s">
        <v>25</v>
      </c>
      <c r="K305" s="20" t="s">
        <v>597</v>
      </c>
    </row>
    <row r="306" spans="1:11" ht="30" customHeight="1" x14ac:dyDescent="0.25">
      <c r="A306" s="20" t="s">
        <v>264</v>
      </c>
      <c r="B306" s="20" t="s">
        <v>265</v>
      </c>
      <c r="C306" s="20" t="s">
        <v>598</v>
      </c>
      <c r="D306" s="20" t="s">
        <v>599</v>
      </c>
      <c r="E306" s="20" t="s">
        <v>595</v>
      </c>
      <c r="F306" s="20" t="s">
        <v>931</v>
      </c>
      <c r="G306" s="20" t="s">
        <v>71</v>
      </c>
      <c r="H306" s="20" t="s">
        <v>71</v>
      </c>
      <c r="I306" s="20" t="s">
        <v>72</v>
      </c>
      <c r="J306" s="20" t="s">
        <v>25</v>
      </c>
      <c r="K306" s="20" t="s">
        <v>597</v>
      </c>
    </row>
    <row r="307" spans="1:11" ht="30" customHeight="1" x14ac:dyDescent="0.25">
      <c r="A307" s="20" t="s">
        <v>264</v>
      </c>
      <c r="B307" s="20" t="s">
        <v>265</v>
      </c>
      <c r="C307" s="20" t="s">
        <v>687</v>
      </c>
      <c r="D307" s="20" t="s">
        <v>688</v>
      </c>
      <c r="E307" s="20" t="s">
        <v>689</v>
      </c>
      <c r="F307" s="20" t="s">
        <v>932</v>
      </c>
      <c r="G307" s="20" t="s">
        <v>71</v>
      </c>
      <c r="H307" s="20" t="s">
        <v>71</v>
      </c>
      <c r="I307" s="20" t="s">
        <v>72</v>
      </c>
      <c r="J307" s="20" t="s">
        <v>25</v>
      </c>
      <c r="K307" s="20" t="s">
        <v>597</v>
      </c>
    </row>
    <row r="308" spans="1:11" ht="30" customHeight="1" x14ac:dyDescent="0.25">
      <c r="A308" s="20" t="s">
        <v>264</v>
      </c>
      <c r="B308" s="20" t="s">
        <v>265</v>
      </c>
      <c r="C308" s="20" t="s">
        <v>601</v>
      </c>
      <c r="D308" s="20" t="s">
        <v>602</v>
      </c>
      <c r="E308" s="20" t="s">
        <v>603</v>
      </c>
      <c r="F308" s="20" t="s">
        <v>933</v>
      </c>
      <c r="G308" s="20" t="s">
        <v>71</v>
      </c>
      <c r="H308" s="20" t="s">
        <v>71</v>
      </c>
      <c r="I308" s="20" t="s">
        <v>72</v>
      </c>
      <c r="J308" s="20" t="s">
        <v>25</v>
      </c>
      <c r="K308" s="20" t="s">
        <v>597</v>
      </c>
    </row>
    <row r="309" spans="1:11" ht="30" customHeight="1" x14ac:dyDescent="0.25">
      <c r="A309" s="20" t="s">
        <v>264</v>
      </c>
      <c r="B309" s="20" t="s">
        <v>265</v>
      </c>
      <c r="C309" s="20" t="s">
        <v>854</v>
      </c>
      <c r="D309" s="20" t="s">
        <v>855</v>
      </c>
      <c r="E309" s="20" t="s">
        <v>856</v>
      </c>
      <c r="F309" s="20" t="s">
        <v>934</v>
      </c>
      <c r="G309" s="20" t="s">
        <v>71</v>
      </c>
      <c r="H309" s="20" t="s">
        <v>78</v>
      </c>
      <c r="I309" s="20" t="s">
        <v>72</v>
      </c>
      <c r="J309" s="20" t="s">
        <v>25</v>
      </c>
      <c r="K309" s="20" t="s">
        <v>597</v>
      </c>
    </row>
    <row r="310" spans="1:11" ht="30" customHeight="1" x14ac:dyDescent="0.25">
      <c r="A310" s="20" t="s">
        <v>264</v>
      </c>
      <c r="B310" s="20" t="s">
        <v>265</v>
      </c>
      <c r="C310" s="20" t="s">
        <v>605</v>
      </c>
      <c r="D310" s="20" t="s">
        <v>606</v>
      </c>
      <c r="E310" s="20" t="s">
        <v>607</v>
      </c>
      <c r="F310" s="20" t="s">
        <v>935</v>
      </c>
      <c r="G310" s="20" t="s">
        <v>71</v>
      </c>
      <c r="H310" s="20" t="s">
        <v>78</v>
      </c>
      <c r="I310" s="20" t="s">
        <v>72</v>
      </c>
      <c r="J310" s="20" t="s">
        <v>25</v>
      </c>
      <c r="K310" s="20" t="s">
        <v>597</v>
      </c>
    </row>
    <row r="311" spans="1:11" ht="30" customHeight="1" x14ac:dyDescent="0.25">
      <c r="A311" s="20" t="s">
        <v>264</v>
      </c>
      <c r="B311" s="20" t="s">
        <v>265</v>
      </c>
      <c r="C311" s="20" t="s">
        <v>609</v>
      </c>
      <c r="D311" s="20" t="s">
        <v>610</v>
      </c>
      <c r="E311" s="20" t="s">
        <v>595</v>
      </c>
      <c r="F311" s="20" t="s">
        <v>936</v>
      </c>
      <c r="G311" s="20" t="s">
        <v>71</v>
      </c>
      <c r="H311" s="20" t="s">
        <v>71</v>
      </c>
      <c r="I311" s="20" t="s">
        <v>72</v>
      </c>
      <c r="J311" s="20" t="s">
        <v>25</v>
      </c>
      <c r="K311" s="20" t="s">
        <v>597</v>
      </c>
    </row>
    <row r="312" spans="1:11" ht="30" customHeight="1" x14ac:dyDescent="0.25">
      <c r="A312" s="20" t="s">
        <v>267</v>
      </c>
      <c r="B312" s="20" t="s">
        <v>268</v>
      </c>
      <c r="C312" s="20" t="s">
        <v>598</v>
      </c>
      <c r="D312" s="20" t="s">
        <v>599</v>
      </c>
      <c r="E312" s="20" t="s">
        <v>595</v>
      </c>
      <c r="F312" s="20" t="s">
        <v>937</v>
      </c>
      <c r="G312" s="20" t="s">
        <v>78</v>
      </c>
      <c r="H312" s="20" t="s">
        <v>71</v>
      </c>
      <c r="I312" s="20" t="s">
        <v>72</v>
      </c>
      <c r="J312" s="20" t="s">
        <v>25</v>
      </c>
      <c r="K312" s="20" t="s">
        <v>597</v>
      </c>
    </row>
    <row r="313" spans="1:11" ht="30" customHeight="1" x14ac:dyDescent="0.25">
      <c r="A313" s="20" t="s">
        <v>267</v>
      </c>
      <c r="B313" s="20" t="s">
        <v>268</v>
      </c>
      <c r="C313" s="20" t="s">
        <v>687</v>
      </c>
      <c r="D313" s="20" t="s">
        <v>688</v>
      </c>
      <c r="E313" s="20" t="s">
        <v>689</v>
      </c>
      <c r="F313" s="20" t="s">
        <v>938</v>
      </c>
      <c r="G313" s="20" t="s">
        <v>78</v>
      </c>
      <c r="H313" s="20" t="s">
        <v>71</v>
      </c>
      <c r="I313" s="20" t="s">
        <v>72</v>
      </c>
      <c r="J313" s="20" t="s">
        <v>25</v>
      </c>
      <c r="K313" s="20" t="s">
        <v>597</v>
      </c>
    </row>
    <row r="314" spans="1:11" ht="30" customHeight="1" x14ac:dyDescent="0.25">
      <c r="A314" s="20" t="s">
        <v>267</v>
      </c>
      <c r="B314" s="20" t="s">
        <v>268</v>
      </c>
      <c r="C314" s="20" t="s">
        <v>601</v>
      </c>
      <c r="D314" s="20" t="s">
        <v>602</v>
      </c>
      <c r="E314" s="20" t="s">
        <v>603</v>
      </c>
      <c r="F314" s="20" t="s">
        <v>939</v>
      </c>
      <c r="G314" s="20" t="s">
        <v>78</v>
      </c>
      <c r="H314" s="20" t="s">
        <v>71</v>
      </c>
      <c r="I314" s="20" t="s">
        <v>72</v>
      </c>
      <c r="J314" s="20" t="s">
        <v>25</v>
      </c>
      <c r="K314" s="20" t="s">
        <v>597</v>
      </c>
    </row>
    <row r="315" spans="1:11" ht="30" customHeight="1" x14ac:dyDescent="0.25">
      <c r="A315" s="20" t="s">
        <v>267</v>
      </c>
      <c r="B315" s="20" t="s">
        <v>268</v>
      </c>
      <c r="C315" s="20" t="s">
        <v>854</v>
      </c>
      <c r="D315" s="20" t="s">
        <v>855</v>
      </c>
      <c r="E315" s="20" t="s">
        <v>856</v>
      </c>
      <c r="F315" s="20" t="s">
        <v>940</v>
      </c>
      <c r="G315" s="20" t="s">
        <v>78</v>
      </c>
      <c r="H315" s="20" t="s">
        <v>78</v>
      </c>
      <c r="I315" s="20" t="s">
        <v>72</v>
      </c>
      <c r="J315" s="20" t="s">
        <v>25</v>
      </c>
      <c r="K315" s="20" t="s">
        <v>597</v>
      </c>
    </row>
    <row r="316" spans="1:11" ht="30" customHeight="1" x14ac:dyDescent="0.25">
      <c r="A316" s="20" t="s">
        <v>267</v>
      </c>
      <c r="B316" s="20" t="s">
        <v>268</v>
      </c>
      <c r="C316" s="20" t="s">
        <v>605</v>
      </c>
      <c r="D316" s="20" t="s">
        <v>606</v>
      </c>
      <c r="E316" s="20" t="s">
        <v>607</v>
      </c>
      <c r="F316" s="20" t="s">
        <v>941</v>
      </c>
      <c r="G316" s="20" t="s">
        <v>78</v>
      </c>
      <c r="H316" s="20" t="s">
        <v>78</v>
      </c>
      <c r="I316" s="20" t="s">
        <v>72</v>
      </c>
      <c r="J316" s="20" t="s">
        <v>25</v>
      </c>
      <c r="K316" s="20" t="s">
        <v>597</v>
      </c>
    </row>
    <row r="317" spans="1:11" ht="30" customHeight="1" x14ac:dyDescent="0.25">
      <c r="A317" s="20" t="s">
        <v>267</v>
      </c>
      <c r="B317" s="20" t="s">
        <v>268</v>
      </c>
      <c r="C317" s="20" t="s">
        <v>609</v>
      </c>
      <c r="D317" s="20" t="s">
        <v>610</v>
      </c>
      <c r="E317" s="20" t="s">
        <v>595</v>
      </c>
      <c r="F317" s="20" t="s">
        <v>942</v>
      </c>
      <c r="G317" s="20" t="s">
        <v>78</v>
      </c>
      <c r="H317" s="20" t="s">
        <v>71</v>
      </c>
      <c r="I317" s="20" t="s">
        <v>72</v>
      </c>
      <c r="J317" s="20" t="s">
        <v>25</v>
      </c>
      <c r="K317" s="20" t="s">
        <v>597</v>
      </c>
    </row>
    <row r="318" spans="1:11" ht="30" customHeight="1" x14ac:dyDescent="0.25">
      <c r="A318" s="20" t="s">
        <v>272</v>
      </c>
      <c r="B318" s="20" t="s">
        <v>273</v>
      </c>
      <c r="C318" s="20" t="s">
        <v>598</v>
      </c>
      <c r="D318" s="20" t="s">
        <v>599</v>
      </c>
      <c r="E318" s="20" t="s">
        <v>595</v>
      </c>
      <c r="F318" s="20" t="s">
        <v>943</v>
      </c>
      <c r="G318" s="20" t="s">
        <v>78</v>
      </c>
      <c r="H318" s="20" t="s">
        <v>71</v>
      </c>
      <c r="I318" s="20" t="s">
        <v>72</v>
      </c>
      <c r="J318" s="20" t="s">
        <v>25</v>
      </c>
      <c r="K318" s="20" t="s">
        <v>597</v>
      </c>
    </row>
    <row r="319" spans="1:11" ht="30" customHeight="1" x14ac:dyDescent="0.25">
      <c r="A319" s="20" t="s">
        <v>272</v>
      </c>
      <c r="B319" s="20" t="s">
        <v>273</v>
      </c>
      <c r="C319" s="20" t="s">
        <v>687</v>
      </c>
      <c r="D319" s="20" t="s">
        <v>688</v>
      </c>
      <c r="E319" s="20" t="s">
        <v>689</v>
      </c>
      <c r="F319" s="20" t="s">
        <v>944</v>
      </c>
      <c r="G319" s="20" t="s">
        <v>78</v>
      </c>
      <c r="H319" s="20" t="s">
        <v>71</v>
      </c>
      <c r="I319" s="20" t="s">
        <v>72</v>
      </c>
      <c r="J319" s="20" t="s">
        <v>25</v>
      </c>
      <c r="K319" s="20" t="s">
        <v>597</v>
      </c>
    </row>
    <row r="320" spans="1:11" ht="30" customHeight="1" x14ac:dyDescent="0.25">
      <c r="A320" s="20" t="s">
        <v>272</v>
      </c>
      <c r="B320" s="20" t="s">
        <v>273</v>
      </c>
      <c r="C320" s="20" t="s">
        <v>601</v>
      </c>
      <c r="D320" s="20" t="s">
        <v>602</v>
      </c>
      <c r="E320" s="20" t="s">
        <v>603</v>
      </c>
      <c r="F320" s="20" t="s">
        <v>945</v>
      </c>
      <c r="G320" s="20" t="s">
        <v>78</v>
      </c>
      <c r="H320" s="20" t="s">
        <v>71</v>
      </c>
      <c r="I320" s="20" t="s">
        <v>72</v>
      </c>
      <c r="J320" s="20" t="s">
        <v>25</v>
      </c>
      <c r="K320" s="20" t="s">
        <v>597</v>
      </c>
    </row>
    <row r="321" spans="1:11" ht="30" customHeight="1" x14ac:dyDescent="0.25">
      <c r="A321" s="20" t="s">
        <v>272</v>
      </c>
      <c r="B321" s="20" t="s">
        <v>273</v>
      </c>
      <c r="C321" s="20" t="s">
        <v>854</v>
      </c>
      <c r="D321" s="20" t="s">
        <v>855</v>
      </c>
      <c r="E321" s="20" t="s">
        <v>856</v>
      </c>
      <c r="F321" s="20" t="s">
        <v>946</v>
      </c>
      <c r="G321" s="20" t="s">
        <v>78</v>
      </c>
      <c r="H321" s="20" t="s">
        <v>78</v>
      </c>
      <c r="I321" s="20" t="s">
        <v>72</v>
      </c>
      <c r="J321" s="20" t="s">
        <v>25</v>
      </c>
      <c r="K321" s="20" t="s">
        <v>597</v>
      </c>
    </row>
    <row r="322" spans="1:11" ht="30" customHeight="1" x14ac:dyDescent="0.25">
      <c r="A322" s="20" t="s">
        <v>272</v>
      </c>
      <c r="B322" s="20" t="s">
        <v>273</v>
      </c>
      <c r="C322" s="20" t="s">
        <v>605</v>
      </c>
      <c r="D322" s="20" t="s">
        <v>606</v>
      </c>
      <c r="E322" s="20" t="s">
        <v>607</v>
      </c>
      <c r="F322" s="20" t="s">
        <v>947</v>
      </c>
      <c r="G322" s="20" t="s">
        <v>78</v>
      </c>
      <c r="H322" s="20" t="s">
        <v>78</v>
      </c>
      <c r="I322" s="20" t="s">
        <v>72</v>
      </c>
      <c r="J322" s="20" t="s">
        <v>25</v>
      </c>
      <c r="K322" s="20" t="s">
        <v>597</v>
      </c>
    </row>
    <row r="323" spans="1:11" ht="30" customHeight="1" x14ac:dyDescent="0.25">
      <c r="A323" s="20" t="s">
        <v>272</v>
      </c>
      <c r="B323" s="20" t="s">
        <v>273</v>
      </c>
      <c r="C323" s="20" t="s">
        <v>609</v>
      </c>
      <c r="D323" s="20" t="s">
        <v>610</v>
      </c>
      <c r="E323" s="20" t="s">
        <v>595</v>
      </c>
      <c r="F323" s="20" t="s">
        <v>948</v>
      </c>
      <c r="G323" s="20" t="s">
        <v>78</v>
      </c>
      <c r="H323" s="20" t="s">
        <v>71</v>
      </c>
      <c r="I323" s="20" t="s">
        <v>72</v>
      </c>
      <c r="J323" s="20" t="s">
        <v>25</v>
      </c>
      <c r="K323" s="20" t="s">
        <v>597</v>
      </c>
    </row>
    <row r="324" spans="1:11" ht="30" customHeight="1" x14ac:dyDescent="0.25">
      <c r="A324" s="20" t="s">
        <v>276</v>
      </c>
      <c r="B324" s="20" t="s">
        <v>277</v>
      </c>
      <c r="C324" s="20" t="s">
        <v>598</v>
      </c>
      <c r="D324" s="20" t="s">
        <v>599</v>
      </c>
      <c r="E324" s="20" t="s">
        <v>595</v>
      </c>
      <c r="F324" s="20" t="s">
        <v>949</v>
      </c>
      <c r="G324" s="20" t="s">
        <v>71</v>
      </c>
      <c r="H324" s="20" t="s">
        <v>71</v>
      </c>
      <c r="I324" s="20" t="s">
        <v>72</v>
      </c>
      <c r="J324" s="20" t="s">
        <v>25</v>
      </c>
      <c r="K324" s="20" t="s">
        <v>597</v>
      </c>
    </row>
    <row r="325" spans="1:11" ht="30" customHeight="1" x14ac:dyDescent="0.25">
      <c r="A325" s="20" t="s">
        <v>276</v>
      </c>
      <c r="B325" s="20" t="s">
        <v>277</v>
      </c>
      <c r="C325" s="20" t="s">
        <v>687</v>
      </c>
      <c r="D325" s="20" t="s">
        <v>688</v>
      </c>
      <c r="E325" s="20" t="s">
        <v>689</v>
      </c>
      <c r="F325" s="20" t="s">
        <v>950</v>
      </c>
      <c r="G325" s="20" t="s">
        <v>71</v>
      </c>
      <c r="H325" s="20" t="s">
        <v>71</v>
      </c>
      <c r="I325" s="20" t="s">
        <v>72</v>
      </c>
      <c r="J325" s="20" t="s">
        <v>25</v>
      </c>
      <c r="K325" s="20" t="s">
        <v>597</v>
      </c>
    </row>
    <row r="326" spans="1:11" ht="30" customHeight="1" x14ac:dyDescent="0.25">
      <c r="A326" s="20" t="s">
        <v>276</v>
      </c>
      <c r="B326" s="20" t="s">
        <v>277</v>
      </c>
      <c r="C326" s="20" t="s">
        <v>601</v>
      </c>
      <c r="D326" s="20" t="s">
        <v>602</v>
      </c>
      <c r="E326" s="20" t="s">
        <v>603</v>
      </c>
      <c r="F326" s="20" t="s">
        <v>951</v>
      </c>
      <c r="G326" s="20" t="s">
        <v>71</v>
      </c>
      <c r="H326" s="20" t="s">
        <v>71</v>
      </c>
      <c r="I326" s="20" t="s">
        <v>72</v>
      </c>
      <c r="J326" s="20" t="s">
        <v>25</v>
      </c>
      <c r="K326" s="20" t="s">
        <v>597</v>
      </c>
    </row>
    <row r="327" spans="1:11" ht="30" customHeight="1" x14ac:dyDescent="0.25">
      <c r="A327" s="20" t="s">
        <v>276</v>
      </c>
      <c r="B327" s="20" t="s">
        <v>277</v>
      </c>
      <c r="C327" s="20" t="s">
        <v>854</v>
      </c>
      <c r="D327" s="20" t="s">
        <v>855</v>
      </c>
      <c r="E327" s="20" t="s">
        <v>856</v>
      </c>
      <c r="F327" s="20" t="s">
        <v>952</v>
      </c>
      <c r="G327" s="20" t="s">
        <v>71</v>
      </c>
      <c r="H327" s="20" t="s">
        <v>78</v>
      </c>
      <c r="I327" s="20" t="s">
        <v>72</v>
      </c>
      <c r="J327" s="20" t="s">
        <v>25</v>
      </c>
      <c r="K327" s="20" t="s">
        <v>597</v>
      </c>
    </row>
    <row r="328" spans="1:11" ht="30" customHeight="1" x14ac:dyDescent="0.25">
      <c r="A328" s="20" t="s">
        <v>276</v>
      </c>
      <c r="B328" s="20" t="s">
        <v>277</v>
      </c>
      <c r="C328" s="20" t="s">
        <v>605</v>
      </c>
      <c r="D328" s="20" t="s">
        <v>606</v>
      </c>
      <c r="E328" s="20" t="s">
        <v>607</v>
      </c>
      <c r="F328" s="20" t="s">
        <v>953</v>
      </c>
      <c r="G328" s="20" t="s">
        <v>71</v>
      </c>
      <c r="H328" s="20" t="s">
        <v>78</v>
      </c>
      <c r="I328" s="20" t="s">
        <v>72</v>
      </c>
      <c r="J328" s="20" t="s">
        <v>25</v>
      </c>
      <c r="K328" s="20" t="s">
        <v>597</v>
      </c>
    </row>
    <row r="329" spans="1:11" ht="30" customHeight="1" x14ac:dyDescent="0.25">
      <c r="A329" s="20" t="s">
        <v>276</v>
      </c>
      <c r="B329" s="20" t="s">
        <v>277</v>
      </c>
      <c r="C329" s="20" t="s">
        <v>609</v>
      </c>
      <c r="D329" s="20" t="s">
        <v>610</v>
      </c>
      <c r="E329" s="20" t="s">
        <v>595</v>
      </c>
      <c r="F329" s="20" t="s">
        <v>954</v>
      </c>
      <c r="G329" s="20" t="s">
        <v>71</v>
      </c>
      <c r="H329" s="20" t="s">
        <v>71</v>
      </c>
      <c r="I329" s="20" t="s">
        <v>72</v>
      </c>
      <c r="J329" s="20" t="s">
        <v>25</v>
      </c>
      <c r="K329" s="20" t="s">
        <v>597</v>
      </c>
    </row>
    <row r="330" spans="1:11" ht="30" customHeight="1" x14ac:dyDescent="0.25">
      <c r="A330" s="20" t="s">
        <v>280</v>
      </c>
      <c r="B330" s="20" t="s">
        <v>281</v>
      </c>
      <c r="C330" s="20" t="s">
        <v>598</v>
      </c>
      <c r="D330" s="20" t="s">
        <v>599</v>
      </c>
      <c r="E330" s="20" t="s">
        <v>595</v>
      </c>
      <c r="F330" s="20" t="s">
        <v>955</v>
      </c>
      <c r="G330" s="20" t="s">
        <v>78</v>
      </c>
      <c r="H330" s="20" t="s">
        <v>71</v>
      </c>
      <c r="I330" s="20" t="s">
        <v>72</v>
      </c>
      <c r="J330" s="20" t="s">
        <v>25</v>
      </c>
      <c r="K330" s="20" t="s">
        <v>597</v>
      </c>
    </row>
    <row r="331" spans="1:11" ht="30" customHeight="1" x14ac:dyDescent="0.25">
      <c r="A331" s="20" t="s">
        <v>280</v>
      </c>
      <c r="B331" s="20" t="s">
        <v>281</v>
      </c>
      <c r="C331" s="20" t="s">
        <v>687</v>
      </c>
      <c r="D331" s="20" t="s">
        <v>688</v>
      </c>
      <c r="E331" s="20" t="s">
        <v>689</v>
      </c>
      <c r="F331" s="20" t="s">
        <v>956</v>
      </c>
      <c r="G331" s="20" t="s">
        <v>78</v>
      </c>
      <c r="H331" s="20" t="s">
        <v>71</v>
      </c>
      <c r="I331" s="20" t="s">
        <v>72</v>
      </c>
      <c r="J331" s="20" t="s">
        <v>25</v>
      </c>
      <c r="K331" s="20" t="s">
        <v>597</v>
      </c>
    </row>
    <row r="332" spans="1:11" ht="30" customHeight="1" x14ac:dyDescent="0.25">
      <c r="A332" s="20" t="s">
        <v>280</v>
      </c>
      <c r="B332" s="20" t="s">
        <v>281</v>
      </c>
      <c r="C332" s="20" t="s">
        <v>601</v>
      </c>
      <c r="D332" s="20" t="s">
        <v>602</v>
      </c>
      <c r="E332" s="20" t="s">
        <v>603</v>
      </c>
      <c r="F332" s="20" t="s">
        <v>957</v>
      </c>
      <c r="G332" s="20" t="s">
        <v>78</v>
      </c>
      <c r="H332" s="20" t="s">
        <v>71</v>
      </c>
      <c r="I332" s="20" t="s">
        <v>72</v>
      </c>
      <c r="J332" s="20" t="s">
        <v>25</v>
      </c>
      <c r="K332" s="20" t="s">
        <v>597</v>
      </c>
    </row>
    <row r="333" spans="1:11" ht="30" customHeight="1" x14ac:dyDescent="0.25">
      <c r="A333" s="20" t="s">
        <v>280</v>
      </c>
      <c r="B333" s="20" t="s">
        <v>281</v>
      </c>
      <c r="C333" s="20" t="s">
        <v>854</v>
      </c>
      <c r="D333" s="20" t="s">
        <v>855</v>
      </c>
      <c r="E333" s="20" t="s">
        <v>856</v>
      </c>
      <c r="F333" s="20" t="s">
        <v>958</v>
      </c>
      <c r="G333" s="20" t="s">
        <v>78</v>
      </c>
      <c r="H333" s="20" t="s">
        <v>78</v>
      </c>
      <c r="I333" s="20" t="s">
        <v>72</v>
      </c>
      <c r="J333" s="20" t="s">
        <v>25</v>
      </c>
      <c r="K333" s="20" t="s">
        <v>597</v>
      </c>
    </row>
    <row r="334" spans="1:11" ht="30" customHeight="1" x14ac:dyDescent="0.25">
      <c r="A334" s="20" t="s">
        <v>280</v>
      </c>
      <c r="B334" s="20" t="s">
        <v>281</v>
      </c>
      <c r="C334" s="20" t="s">
        <v>605</v>
      </c>
      <c r="D334" s="20" t="s">
        <v>606</v>
      </c>
      <c r="E334" s="20" t="s">
        <v>607</v>
      </c>
      <c r="F334" s="20" t="s">
        <v>959</v>
      </c>
      <c r="G334" s="20" t="s">
        <v>78</v>
      </c>
      <c r="H334" s="20" t="s">
        <v>78</v>
      </c>
      <c r="I334" s="20" t="s">
        <v>72</v>
      </c>
      <c r="J334" s="20" t="s">
        <v>25</v>
      </c>
      <c r="K334" s="20" t="s">
        <v>597</v>
      </c>
    </row>
    <row r="335" spans="1:11" ht="30" customHeight="1" x14ac:dyDescent="0.25">
      <c r="A335" s="20" t="s">
        <v>280</v>
      </c>
      <c r="B335" s="20" t="s">
        <v>281</v>
      </c>
      <c r="C335" s="20" t="s">
        <v>609</v>
      </c>
      <c r="D335" s="20" t="s">
        <v>610</v>
      </c>
      <c r="E335" s="20" t="s">
        <v>595</v>
      </c>
      <c r="F335" s="20" t="s">
        <v>960</v>
      </c>
      <c r="G335" s="20" t="s">
        <v>78</v>
      </c>
      <c r="H335" s="20" t="s">
        <v>71</v>
      </c>
      <c r="I335" s="20" t="s">
        <v>72</v>
      </c>
      <c r="J335" s="20" t="s">
        <v>25</v>
      </c>
      <c r="K335" s="20" t="s">
        <v>597</v>
      </c>
    </row>
    <row r="336" spans="1:11" ht="30" customHeight="1" x14ac:dyDescent="0.25">
      <c r="A336" s="20" t="s">
        <v>284</v>
      </c>
      <c r="B336" s="20" t="s">
        <v>285</v>
      </c>
      <c r="C336" s="20" t="s">
        <v>594</v>
      </c>
      <c r="D336" s="20" t="s">
        <v>595</v>
      </c>
      <c r="E336" s="20" t="s">
        <v>595</v>
      </c>
      <c r="F336" s="20" t="s">
        <v>961</v>
      </c>
      <c r="G336" s="20" t="s">
        <v>71</v>
      </c>
      <c r="H336" s="20" t="s">
        <v>71</v>
      </c>
      <c r="I336" s="20" t="s">
        <v>72</v>
      </c>
      <c r="J336" s="20" t="s">
        <v>25</v>
      </c>
      <c r="K336" s="20" t="s">
        <v>597</v>
      </c>
    </row>
    <row r="337" spans="1:11" ht="30" customHeight="1" x14ac:dyDescent="0.25">
      <c r="A337" s="20" t="s">
        <v>284</v>
      </c>
      <c r="B337" s="20" t="s">
        <v>285</v>
      </c>
      <c r="C337" s="20" t="s">
        <v>962</v>
      </c>
      <c r="D337" s="20" t="s">
        <v>963</v>
      </c>
      <c r="E337" s="20" t="s">
        <v>860</v>
      </c>
      <c r="F337" s="20" t="s">
        <v>964</v>
      </c>
      <c r="G337" s="20" t="s">
        <v>71</v>
      </c>
      <c r="H337" s="20" t="s">
        <v>71</v>
      </c>
      <c r="I337" s="20" t="s">
        <v>72</v>
      </c>
      <c r="J337" s="20" t="s">
        <v>25</v>
      </c>
      <c r="K337" s="20" t="s">
        <v>597</v>
      </c>
    </row>
    <row r="338" spans="1:11" ht="30" customHeight="1" x14ac:dyDescent="0.25">
      <c r="A338" s="20" t="s">
        <v>284</v>
      </c>
      <c r="B338" s="20" t="s">
        <v>285</v>
      </c>
      <c r="C338" s="20" t="s">
        <v>654</v>
      </c>
      <c r="D338" s="20" t="s">
        <v>655</v>
      </c>
      <c r="E338" s="20" t="s">
        <v>595</v>
      </c>
      <c r="F338" s="20" t="s">
        <v>965</v>
      </c>
      <c r="G338" s="20" t="s">
        <v>71</v>
      </c>
      <c r="H338" s="20" t="s">
        <v>78</v>
      </c>
      <c r="I338" s="20" t="s">
        <v>72</v>
      </c>
      <c r="J338" s="20" t="s">
        <v>25</v>
      </c>
      <c r="K338" s="20" t="s">
        <v>597</v>
      </c>
    </row>
    <row r="339" spans="1:11" ht="30" customHeight="1" x14ac:dyDescent="0.25">
      <c r="A339" s="20" t="s">
        <v>284</v>
      </c>
      <c r="B339" s="20" t="s">
        <v>285</v>
      </c>
      <c r="C339" s="20" t="s">
        <v>858</v>
      </c>
      <c r="D339" s="20" t="s">
        <v>859</v>
      </c>
      <c r="E339" s="20" t="s">
        <v>860</v>
      </c>
      <c r="F339" s="20" t="s">
        <v>966</v>
      </c>
      <c r="G339" s="20" t="s">
        <v>71</v>
      </c>
      <c r="H339" s="20" t="s">
        <v>71</v>
      </c>
      <c r="I339" s="20" t="s">
        <v>72</v>
      </c>
      <c r="J339" s="20" t="s">
        <v>25</v>
      </c>
      <c r="K339" s="20" t="s">
        <v>597</v>
      </c>
    </row>
    <row r="340" spans="1:11" ht="30" customHeight="1" x14ac:dyDescent="0.25">
      <c r="A340" s="20" t="s">
        <v>284</v>
      </c>
      <c r="B340" s="20" t="s">
        <v>285</v>
      </c>
      <c r="C340" s="20" t="s">
        <v>605</v>
      </c>
      <c r="D340" s="20" t="s">
        <v>606</v>
      </c>
      <c r="E340" s="20" t="s">
        <v>607</v>
      </c>
      <c r="F340" s="20" t="s">
        <v>967</v>
      </c>
      <c r="G340" s="20" t="s">
        <v>71</v>
      </c>
      <c r="H340" s="20" t="s">
        <v>78</v>
      </c>
      <c r="I340" s="20" t="s">
        <v>72</v>
      </c>
      <c r="J340" s="20" t="s">
        <v>25</v>
      </c>
      <c r="K340" s="20" t="s">
        <v>597</v>
      </c>
    </row>
    <row r="341" spans="1:11" ht="30" customHeight="1" x14ac:dyDescent="0.25">
      <c r="A341" s="20" t="s">
        <v>284</v>
      </c>
      <c r="B341" s="20" t="s">
        <v>285</v>
      </c>
      <c r="C341" s="20" t="s">
        <v>609</v>
      </c>
      <c r="D341" s="20" t="s">
        <v>610</v>
      </c>
      <c r="E341" s="20" t="s">
        <v>595</v>
      </c>
      <c r="F341" s="20" t="s">
        <v>968</v>
      </c>
      <c r="G341" s="20" t="s">
        <v>71</v>
      </c>
      <c r="H341" s="20" t="s">
        <v>71</v>
      </c>
      <c r="I341" s="20" t="s">
        <v>72</v>
      </c>
      <c r="J341" s="20" t="s">
        <v>25</v>
      </c>
      <c r="K341" s="20" t="s">
        <v>597</v>
      </c>
    </row>
    <row r="342" spans="1:11" ht="30" customHeight="1" x14ac:dyDescent="0.25">
      <c r="A342" s="20" t="s">
        <v>288</v>
      </c>
      <c r="B342" s="20" t="s">
        <v>289</v>
      </c>
      <c r="C342" s="20" t="s">
        <v>594</v>
      </c>
      <c r="D342" s="20" t="s">
        <v>595</v>
      </c>
      <c r="E342" s="20" t="s">
        <v>595</v>
      </c>
      <c r="F342" s="20" t="s">
        <v>969</v>
      </c>
      <c r="G342" s="20" t="s">
        <v>78</v>
      </c>
      <c r="H342" s="20" t="s">
        <v>71</v>
      </c>
      <c r="I342" s="20" t="s">
        <v>72</v>
      </c>
      <c r="J342" s="20" t="s">
        <v>25</v>
      </c>
      <c r="K342" s="20" t="s">
        <v>597</v>
      </c>
    </row>
    <row r="343" spans="1:11" ht="30" customHeight="1" x14ac:dyDescent="0.25">
      <c r="A343" s="20" t="s">
        <v>288</v>
      </c>
      <c r="B343" s="20" t="s">
        <v>289</v>
      </c>
      <c r="C343" s="20" t="s">
        <v>962</v>
      </c>
      <c r="D343" s="20" t="s">
        <v>963</v>
      </c>
      <c r="E343" s="20" t="s">
        <v>860</v>
      </c>
      <c r="F343" s="20" t="s">
        <v>970</v>
      </c>
      <c r="G343" s="20" t="s">
        <v>78</v>
      </c>
      <c r="H343" s="20" t="s">
        <v>71</v>
      </c>
      <c r="I343" s="20" t="s">
        <v>72</v>
      </c>
      <c r="J343" s="20" t="s">
        <v>25</v>
      </c>
      <c r="K343" s="20" t="s">
        <v>597</v>
      </c>
    </row>
    <row r="344" spans="1:11" ht="30" customHeight="1" x14ac:dyDescent="0.25">
      <c r="A344" s="20" t="s">
        <v>288</v>
      </c>
      <c r="B344" s="20" t="s">
        <v>289</v>
      </c>
      <c r="C344" s="20" t="s">
        <v>654</v>
      </c>
      <c r="D344" s="20" t="s">
        <v>655</v>
      </c>
      <c r="E344" s="20" t="s">
        <v>595</v>
      </c>
      <c r="F344" s="20" t="s">
        <v>971</v>
      </c>
      <c r="G344" s="20" t="s">
        <v>78</v>
      </c>
      <c r="H344" s="20" t="s">
        <v>78</v>
      </c>
      <c r="I344" s="20" t="s">
        <v>72</v>
      </c>
      <c r="J344" s="20" t="s">
        <v>25</v>
      </c>
      <c r="K344" s="20" t="s">
        <v>597</v>
      </c>
    </row>
    <row r="345" spans="1:11" ht="30" customHeight="1" x14ac:dyDescent="0.25">
      <c r="A345" s="20" t="s">
        <v>288</v>
      </c>
      <c r="B345" s="20" t="s">
        <v>289</v>
      </c>
      <c r="C345" s="20" t="s">
        <v>858</v>
      </c>
      <c r="D345" s="20" t="s">
        <v>859</v>
      </c>
      <c r="E345" s="20" t="s">
        <v>860</v>
      </c>
      <c r="F345" s="20" t="s">
        <v>972</v>
      </c>
      <c r="G345" s="20" t="s">
        <v>78</v>
      </c>
      <c r="H345" s="20" t="s">
        <v>71</v>
      </c>
      <c r="I345" s="20" t="s">
        <v>72</v>
      </c>
      <c r="J345" s="20" t="s">
        <v>25</v>
      </c>
      <c r="K345" s="20" t="s">
        <v>597</v>
      </c>
    </row>
    <row r="346" spans="1:11" ht="30" customHeight="1" x14ac:dyDescent="0.25">
      <c r="A346" s="20" t="s">
        <v>288</v>
      </c>
      <c r="B346" s="20" t="s">
        <v>289</v>
      </c>
      <c r="C346" s="20" t="s">
        <v>605</v>
      </c>
      <c r="D346" s="20" t="s">
        <v>606</v>
      </c>
      <c r="E346" s="20" t="s">
        <v>607</v>
      </c>
      <c r="F346" s="20" t="s">
        <v>973</v>
      </c>
      <c r="G346" s="20" t="s">
        <v>78</v>
      </c>
      <c r="H346" s="20" t="s">
        <v>78</v>
      </c>
      <c r="I346" s="20" t="s">
        <v>72</v>
      </c>
      <c r="J346" s="20" t="s">
        <v>25</v>
      </c>
      <c r="K346" s="20" t="s">
        <v>597</v>
      </c>
    </row>
    <row r="347" spans="1:11" ht="30" customHeight="1" x14ac:dyDescent="0.25">
      <c r="A347" s="20" t="s">
        <v>288</v>
      </c>
      <c r="B347" s="20" t="s">
        <v>289</v>
      </c>
      <c r="C347" s="20" t="s">
        <v>609</v>
      </c>
      <c r="D347" s="20" t="s">
        <v>610</v>
      </c>
      <c r="E347" s="20" t="s">
        <v>595</v>
      </c>
      <c r="F347" s="20" t="s">
        <v>974</v>
      </c>
      <c r="G347" s="20" t="s">
        <v>78</v>
      </c>
      <c r="H347" s="20" t="s">
        <v>71</v>
      </c>
      <c r="I347" s="20" t="s">
        <v>72</v>
      </c>
      <c r="J347" s="20" t="s">
        <v>25</v>
      </c>
      <c r="K347" s="20" t="s">
        <v>597</v>
      </c>
    </row>
    <row r="348" spans="1:11" ht="30" customHeight="1" x14ac:dyDescent="0.25">
      <c r="A348" s="20" t="s">
        <v>292</v>
      </c>
      <c r="B348" s="20" t="s">
        <v>293</v>
      </c>
      <c r="C348" s="20" t="s">
        <v>594</v>
      </c>
      <c r="D348" s="20" t="s">
        <v>595</v>
      </c>
      <c r="E348" s="20" t="s">
        <v>595</v>
      </c>
      <c r="F348" s="20" t="s">
        <v>975</v>
      </c>
      <c r="G348" s="20" t="s">
        <v>71</v>
      </c>
      <c r="H348" s="20" t="s">
        <v>71</v>
      </c>
      <c r="I348" s="20" t="s">
        <v>72</v>
      </c>
      <c r="J348" s="20" t="s">
        <v>25</v>
      </c>
      <c r="K348" s="20" t="s">
        <v>597</v>
      </c>
    </row>
    <row r="349" spans="1:11" ht="30" customHeight="1" x14ac:dyDescent="0.25">
      <c r="A349" s="20" t="s">
        <v>292</v>
      </c>
      <c r="B349" s="20" t="s">
        <v>293</v>
      </c>
      <c r="C349" s="20" t="s">
        <v>962</v>
      </c>
      <c r="D349" s="20" t="s">
        <v>963</v>
      </c>
      <c r="E349" s="20" t="s">
        <v>860</v>
      </c>
      <c r="F349" s="20" t="s">
        <v>976</v>
      </c>
      <c r="G349" s="20" t="s">
        <v>71</v>
      </c>
      <c r="H349" s="20" t="s">
        <v>71</v>
      </c>
      <c r="I349" s="20" t="s">
        <v>72</v>
      </c>
      <c r="J349" s="20" t="s">
        <v>25</v>
      </c>
      <c r="K349" s="20" t="s">
        <v>597</v>
      </c>
    </row>
    <row r="350" spans="1:11" ht="30" customHeight="1" x14ac:dyDescent="0.25">
      <c r="A350" s="20" t="s">
        <v>292</v>
      </c>
      <c r="B350" s="20" t="s">
        <v>293</v>
      </c>
      <c r="C350" s="20" t="s">
        <v>654</v>
      </c>
      <c r="D350" s="20" t="s">
        <v>655</v>
      </c>
      <c r="E350" s="20" t="s">
        <v>595</v>
      </c>
      <c r="F350" s="20" t="s">
        <v>977</v>
      </c>
      <c r="G350" s="20" t="s">
        <v>71</v>
      </c>
      <c r="H350" s="20" t="s">
        <v>78</v>
      </c>
      <c r="I350" s="20" t="s">
        <v>72</v>
      </c>
      <c r="J350" s="20" t="s">
        <v>25</v>
      </c>
      <c r="K350" s="20" t="s">
        <v>597</v>
      </c>
    </row>
    <row r="351" spans="1:11" ht="30" customHeight="1" x14ac:dyDescent="0.25">
      <c r="A351" s="20" t="s">
        <v>292</v>
      </c>
      <c r="B351" s="20" t="s">
        <v>293</v>
      </c>
      <c r="C351" s="20" t="s">
        <v>858</v>
      </c>
      <c r="D351" s="20" t="s">
        <v>859</v>
      </c>
      <c r="E351" s="20" t="s">
        <v>860</v>
      </c>
      <c r="F351" s="20" t="s">
        <v>978</v>
      </c>
      <c r="G351" s="20" t="s">
        <v>71</v>
      </c>
      <c r="H351" s="20" t="s">
        <v>71</v>
      </c>
      <c r="I351" s="20" t="s">
        <v>72</v>
      </c>
      <c r="J351" s="20" t="s">
        <v>25</v>
      </c>
      <c r="K351" s="20" t="s">
        <v>597</v>
      </c>
    </row>
    <row r="352" spans="1:11" ht="30" customHeight="1" x14ac:dyDescent="0.25">
      <c r="A352" s="20" t="s">
        <v>292</v>
      </c>
      <c r="B352" s="20" t="s">
        <v>293</v>
      </c>
      <c r="C352" s="20" t="s">
        <v>605</v>
      </c>
      <c r="D352" s="20" t="s">
        <v>606</v>
      </c>
      <c r="E352" s="20" t="s">
        <v>607</v>
      </c>
      <c r="F352" s="20" t="s">
        <v>979</v>
      </c>
      <c r="G352" s="20" t="s">
        <v>71</v>
      </c>
      <c r="H352" s="20" t="s">
        <v>78</v>
      </c>
      <c r="I352" s="20" t="s">
        <v>72</v>
      </c>
      <c r="J352" s="20" t="s">
        <v>25</v>
      </c>
      <c r="K352" s="20" t="s">
        <v>597</v>
      </c>
    </row>
    <row r="353" spans="1:11" ht="30" customHeight="1" x14ac:dyDescent="0.25">
      <c r="A353" s="20" t="s">
        <v>292</v>
      </c>
      <c r="B353" s="20" t="s">
        <v>293</v>
      </c>
      <c r="C353" s="20" t="s">
        <v>609</v>
      </c>
      <c r="D353" s="20" t="s">
        <v>610</v>
      </c>
      <c r="E353" s="20" t="s">
        <v>595</v>
      </c>
      <c r="F353" s="20" t="s">
        <v>980</v>
      </c>
      <c r="G353" s="20" t="s">
        <v>71</v>
      </c>
      <c r="H353" s="20" t="s">
        <v>71</v>
      </c>
      <c r="I353" s="20" t="s">
        <v>72</v>
      </c>
      <c r="J353" s="20" t="s">
        <v>25</v>
      </c>
      <c r="K353" s="20" t="s">
        <v>597</v>
      </c>
    </row>
    <row r="354" spans="1:11" ht="30" customHeight="1" x14ac:dyDescent="0.25">
      <c r="A354" s="20" t="s">
        <v>296</v>
      </c>
      <c r="B354" s="20" t="s">
        <v>297</v>
      </c>
      <c r="C354" s="20" t="s">
        <v>594</v>
      </c>
      <c r="D354" s="20" t="s">
        <v>595</v>
      </c>
      <c r="E354" s="20" t="s">
        <v>595</v>
      </c>
      <c r="F354" s="20" t="s">
        <v>981</v>
      </c>
      <c r="G354" s="20" t="s">
        <v>71</v>
      </c>
      <c r="H354" s="20" t="s">
        <v>71</v>
      </c>
      <c r="I354" s="20" t="s">
        <v>72</v>
      </c>
      <c r="J354" s="20" t="s">
        <v>25</v>
      </c>
      <c r="K354" s="20" t="s">
        <v>597</v>
      </c>
    </row>
    <row r="355" spans="1:11" ht="30" customHeight="1" x14ac:dyDescent="0.25">
      <c r="A355" s="20" t="s">
        <v>296</v>
      </c>
      <c r="B355" s="20" t="s">
        <v>297</v>
      </c>
      <c r="C355" s="20" t="s">
        <v>962</v>
      </c>
      <c r="D355" s="20" t="s">
        <v>963</v>
      </c>
      <c r="E355" s="20" t="s">
        <v>860</v>
      </c>
      <c r="F355" s="20" t="s">
        <v>982</v>
      </c>
      <c r="G355" s="20" t="s">
        <v>71</v>
      </c>
      <c r="H355" s="20" t="s">
        <v>71</v>
      </c>
      <c r="I355" s="20" t="s">
        <v>72</v>
      </c>
      <c r="J355" s="20" t="s">
        <v>25</v>
      </c>
      <c r="K355" s="20" t="s">
        <v>597</v>
      </c>
    </row>
    <row r="356" spans="1:11" ht="30" customHeight="1" x14ac:dyDescent="0.25">
      <c r="A356" s="20" t="s">
        <v>296</v>
      </c>
      <c r="B356" s="20" t="s">
        <v>297</v>
      </c>
      <c r="C356" s="20" t="s">
        <v>654</v>
      </c>
      <c r="D356" s="20" t="s">
        <v>655</v>
      </c>
      <c r="E356" s="20" t="s">
        <v>595</v>
      </c>
      <c r="F356" s="20" t="s">
        <v>983</v>
      </c>
      <c r="G356" s="20" t="s">
        <v>71</v>
      </c>
      <c r="H356" s="20" t="s">
        <v>78</v>
      </c>
      <c r="I356" s="20" t="s">
        <v>72</v>
      </c>
      <c r="J356" s="20" t="s">
        <v>25</v>
      </c>
      <c r="K356" s="20" t="s">
        <v>597</v>
      </c>
    </row>
    <row r="357" spans="1:11" ht="30" customHeight="1" x14ac:dyDescent="0.25">
      <c r="A357" s="20" t="s">
        <v>296</v>
      </c>
      <c r="B357" s="20" t="s">
        <v>297</v>
      </c>
      <c r="C357" s="20" t="s">
        <v>858</v>
      </c>
      <c r="D357" s="20" t="s">
        <v>859</v>
      </c>
      <c r="E357" s="20" t="s">
        <v>860</v>
      </c>
      <c r="F357" s="20" t="s">
        <v>984</v>
      </c>
      <c r="G357" s="20" t="s">
        <v>71</v>
      </c>
      <c r="H357" s="20" t="s">
        <v>71</v>
      </c>
      <c r="I357" s="20" t="s">
        <v>72</v>
      </c>
      <c r="J357" s="20" t="s">
        <v>25</v>
      </c>
      <c r="K357" s="20" t="s">
        <v>597</v>
      </c>
    </row>
    <row r="358" spans="1:11" ht="30" customHeight="1" x14ac:dyDescent="0.25">
      <c r="A358" s="20" t="s">
        <v>296</v>
      </c>
      <c r="B358" s="20" t="s">
        <v>297</v>
      </c>
      <c r="C358" s="20" t="s">
        <v>605</v>
      </c>
      <c r="D358" s="20" t="s">
        <v>606</v>
      </c>
      <c r="E358" s="20" t="s">
        <v>607</v>
      </c>
      <c r="F358" s="20" t="s">
        <v>985</v>
      </c>
      <c r="G358" s="20" t="s">
        <v>71</v>
      </c>
      <c r="H358" s="20" t="s">
        <v>78</v>
      </c>
      <c r="I358" s="20" t="s">
        <v>72</v>
      </c>
      <c r="J358" s="20" t="s">
        <v>25</v>
      </c>
      <c r="K358" s="20" t="s">
        <v>597</v>
      </c>
    </row>
    <row r="359" spans="1:11" ht="30" customHeight="1" x14ac:dyDescent="0.25">
      <c r="A359" s="20" t="s">
        <v>296</v>
      </c>
      <c r="B359" s="20" t="s">
        <v>297</v>
      </c>
      <c r="C359" s="20" t="s">
        <v>609</v>
      </c>
      <c r="D359" s="20" t="s">
        <v>610</v>
      </c>
      <c r="E359" s="20" t="s">
        <v>595</v>
      </c>
      <c r="F359" s="20" t="s">
        <v>986</v>
      </c>
      <c r="G359" s="20" t="s">
        <v>71</v>
      </c>
      <c r="H359" s="20" t="s">
        <v>71</v>
      </c>
      <c r="I359" s="20" t="s">
        <v>72</v>
      </c>
      <c r="J359" s="20" t="s">
        <v>25</v>
      </c>
      <c r="K359" s="20" t="s">
        <v>597</v>
      </c>
    </row>
    <row r="360" spans="1:11" ht="30" customHeight="1" x14ac:dyDescent="0.25">
      <c r="A360" s="20" t="s">
        <v>300</v>
      </c>
      <c r="B360" s="20" t="s">
        <v>301</v>
      </c>
      <c r="C360" s="20" t="s">
        <v>594</v>
      </c>
      <c r="D360" s="20" t="s">
        <v>595</v>
      </c>
      <c r="E360" s="20" t="s">
        <v>595</v>
      </c>
      <c r="F360" s="20" t="s">
        <v>987</v>
      </c>
      <c r="G360" s="20" t="s">
        <v>78</v>
      </c>
      <c r="H360" s="20" t="s">
        <v>71</v>
      </c>
      <c r="I360" s="20" t="s">
        <v>72</v>
      </c>
      <c r="J360" s="20" t="s">
        <v>25</v>
      </c>
      <c r="K360" s="20" t="s">
        <v>597</v>
      </c>
    </row>
    <row r="361" spans="1:11" ht="30" customHeight="1" x14ac:dyDescent="0.25">
      <c r="A361" s="20" t="s">
        <v>300</v>
      </c>
      <c r="B361" s="20" t="s">
        <v>301</v>
      </c>
      <c r="C361" s="20" t="s">
        <v>962</v>
      </c>
      <c r="D361" s="20" t="s">
        <v>963</v>
      </c>
      <c r="E361" s="20" t="s">
        <v>860</v>
      </c>
      <c r="F361" s="20" t="s">
        <v>988</v>
      </c>
      <c r="G361" s="20" t="s">
        <v>78</v>
      </c>
      <c r="H361" s="20" t="s">
        <v>71</v>
      </c>
      <c r="I361" s="20" t="s">
        <v>72</v>
      </c>
      <c r="J361" s="20" t="s">
        <v>25</v>
      </c>
      <c r="K361" s="20" t="s">
        <v>597</v>
      </c>
    </row>
    <row r="362" spans="1:11" ht="30" customHeight="1" x14ac:dyDescent="0.25">
      <c r="A362" s="20" t="s">
        <v>300</v>
      </c>
      <c r="B362" s="20" t="s">
        <v>301</v>
      </c>
      <c r="C362" s="20" t="s">
        <v>654</v>
      </c>
      <c r="D362" s="20" t="s">
        <v>655</v>
      </c>
      <c r="E362" s="20" t="s">
        <v>595</v>
      </c>
      <c r="F362" s="20" t="s">
        <v>989</v>
      </c>
      <c r="G362" s="20" t="s">
        <v>78</v>
      </c>
      <c r="H362" s="20" t="s">
        <v>78</v>
      </c>
      <c r="I362" s="20" t="s">
        <v>72</v>
      </c>
      <c r="J362" s="20" t="s">
        <v>25</v>
      </c>
      <c r="K362" s="20" t="s">
        <v>597</v>
      </c>
    </row>
    <row r="363" spans="1:11" ht="30" customHeight="1" x14ac:dyDescent="0.25">
      <c r="A363" s="20" t="s">
        <v>300</v>
      </c>
      <c r="B363" s="20" t="s">
        <v>301</v>
      </c>
      <c r="C363" s="20" t="s">
        <v>858</v>
      </c>
      <c r="D363" s="20" t="s">
        <v>859</v>
      </c>
      <c r="E363" s="20" t="s">
        <v>860</v>
      </c>
      <c r="F363" s="20" t="s">
        <v>990</v>
      </c>
      <c r="G363" s="20" t="s">
        <v>78</v>
      </c>
      <c r="H363" s="20" t="s">
        <v>71</v>
      </c>
      <c r="I363" s="20" t="s">
        <v>72</v>
      </c>
      <c r="J363" s="20" t="s">
        <v>25</v>
      </c>
      <c r="K363" s="20" t="s">
        <v>597</v>
      </c>
    </row>
    <row r="364" spans="1:11" ht="30" customHeight="1" x14ac:dyDescent="0.25">
      <c r="A364" s="20" t="s">
        <v>300</v>
      </c>
      <c r="B364" s="20" t="s">
        <v>301</v>
      </c>
      <c r="C364" s="20" t="s">
        <v>605</v>
      </c>
      <c r="D364" s="20" t="s">
        <v>606</v>
      </c>
      <c r="E364" s="20" t="s">
        <v>607</v>
      </c>
      <c r="F364" s="20" t="s">
        <v>991</v>
      </c>
      <c r="G364" s="20" t="s">
        <v>78</v>
      </c>
      <c r="H364" s="20" t="s">
        <v>78</v>
      </c>
      <c r="I364" s="20" t="s">
        <v>72</v>
      </c>
      <c r="J364" s="20" t="s">
        <v>25</v>
      </c>
      <c r="K364" s="20" t="s">
        <v>597</v>
      </c>
    </row>
    <row r="365" spans="1:11" ht="30" customHeight="1" x14ac:dyDescent="0.25">
      <c r="A365" s="20" t="s">
        <v>300</v>
      </c>
      <c r="B365" s="20" t="s">
        <v>301</v>
      </c>
      <c r="C365" s="20" t="s">
        <v>609</v>
      </c>
      <c r="D365" s="20" t="s">
        <v>610</v>
      </c>
      <c r="E365" s="20" t="s">
        <v>595</v>
      </c>
      <c r="F365" s="20" t="s">
        <v>992</v>
      </c>
      <c r="G365" s="20" t="s">
        <v>78</v>
      </c>
      <c r="H365" s="20" t="s">
        <v>71</v>
      </c>
      <c r="I365" s="20" t="s">
        <v>72</v>
      </c>
      <c r="J365" s="20" t="s">
        <v>25</v>
      </c>
      <c r="K365" s="20" t="s">
        <v>597</v>
      </c>
    </row>
    <row r="366" spans="1:11" ht="30" customHeight="1" x14ac:dyDescent="0.25">
      <c r="A366" s="20" t="s">
        <v>304</v>
      </c>
      <c r="B366" s="20" t="s">
        <v>305</v>
      </c>
      <c r="C366" s="20" t="s">
        <v>594</v>
      </c>
      <c r="D366" s="20" t="s">
        <v>595</v>
      </c>
      <c r="E366" s="20" t="s">
        <v>595</v>
      </c>
      <c r="F366" s="20" t="s">
        <v>993</v>
      </c>
      <c r="G366" s="20" t="s">
        <v>71</v>
      </c>
      <c r="H366" s="20" t="s">
        <v>71</v>
      </c>
      <c r="I366" s="20" t="s">
        <v>72</v>
      </c>
      <c r="J366" s="20" t="s">
        <v>25</v>
      </c>
      <c r="K366" s="20" t="s">
        <v>597</v>
      </c>
    </row>
    <row r="367" spans="1:11" ht="30" customHeight="1" x14ac:dyDescent="0.25">
      <c r="A367" s="20" t="s">
        <v>304</v>
      </c>
      <c r="B367" s="20" t="s">
        <v>305</v>
      </c>
      <c r="C367" s="20" t="s">
        <v>962</v>
      </c>
      <c r="D367" s="20" t="s">
        <v>963</v>
      </c>
      <c r="E367" s="20" t="s">
        <v>860</v>
      </c>
      <c r="F367" s="20" t="s">
        <v>994</v>
      </c>
      <c r="G367" s="20" t="s">
        <v>71</v>
      </c>
      <c r="H367" s="20" t="s">
        <v>71</v>
      </c>
      <c r="I367" s="20" t="s">
        <v>72</v>
      </c>
      <c r="J367" s="20" t="s">
        <v>25</v>
      </c>
      <c r="K367" s="20" t="s">
        <v>597</v>
      </c>
    </row>
    <row r="368" spans="1:11" ht="30" customHeight="1" x14ac:dyDescent="0.25">
      <c r="A368" s="20" t="s">
        <v>304</v>
      </c>
      <c r="B368" s="20" t="s">
        <v>305</v>
      </c>
      <c r="C368" s="20" t="s">
        <v>654</v>
      </c>
      <c r="D368" s="20" t="s">
        <v>655</v>
      </c>
      <c r="E368" s="20" t="s">
        <v>595</v>
      </c>
      <c r="F368" s="20" t="s">
        <v>995</v>
      </c>
      <c r="G368" s="20" t="s">
        <v>71</v>
      </c>
      <c r="H368" s="20" t="s">
        <v>78</v>
      </c>
      <c r="I368" s="20" t="s">
        <v>72</v>
      </c>
      <c r="J368" s="20" t="s">
        <v>25</v>
      </c>
      <c r="K368" s="20" t="s">
        <v>597</v>
      </c>
    </row>
    <row r="369" spans="1:11" ht="30" customHeight="1" x14ac:dyDescent="0.25">
      <c r="A369" s="20" t="s">
        <v>304</v>
      </c>
      <c r="B369" s="20" t="s">
        <v>305</v>
      </c>
      <c r="C369" s="20" t="s">
        <v>858</v>
      </c>
      <c r="D369" s="20" t="s">
        <v>859</v>
      </c>
      <c r="E369" s="20" t="s">
        <v>860</v>
      </c>
      <c r="F369" s="20" t="s">
        <v>996</v>
      </c>
      <c r="G369" s="20" t="s">
        <v>71</v>
      </c>
      <c r="H369" s="20" t="s">
        <v>71</v>
      </c>
      <c r="I369" s="20" t="s">
        <v>72</v>
      </c>
      <c r="J369" s="20" t="s">
        <v>25</v>
      </c>
      <c r="K369" s="20" t="s">
        <v>597</v>
      </c>
    </row>
    <row r="370" spans="1:11" ht="30" customHeight="1" x14ac:dyDescent="0.25">
      <c r="A370" s="20" t="s">
        <v>304</v>
      </c>
      <c r="B370" s="20" t="s">
        <v>305</v>
      </c>
      <c r="C370" s="20" t="s">
        <v>605</v>
      </c>
      <c r="D370" s="20" t="s">
        <v>606</v>
      </c>
      <c r="E370" s="20" t="s">
        <v>607</v>
      </c>
      <c r="F370" s="20" t="s">
        <v>997</v>
      </c>
      <c r="G370" s="20" t="s">
        <v>71</v>
      </c>
      <c r="H370" s="20" t="s">
        <v>78</v>
      </c>
      <c r="I370" s="20" t="s">
        <v>72</v>
      </c>
      <c r="J370" s="20" t="s">
        <v>25</v>
      </c>
      <c r="K370" s="20" t="s">
        <v>597</v>
      </c>
    </row>
    <row r="371" spans="1:11" ht="30" customHeight="1" x14ac:dyDescent="0.25">
      <c r="A371" s="20" t="s">
        <v>304</v>
      </c>
      <c r="B371" s="20" t="s">
        <v>305</v>
      </c>
      <c r="C371" s="20" t="s">
        <v>609</v>
      </c>
      <c r="D371" s="20" t="s">
        <v>610</v>
      </c>
      <c r="E371" s="20" t="s">
        <v>595</v>
      </c>
      <c r="F371" s="20" t="s">
        <v>998</v>
      </c>
      <c r="G371" s="20" t="s">
        <v>71</v>
      </c>
      <c r="H371" s="20" t="s">
        <v>71</v>
      </c>
      <c r="I371" s="20" t="s">
        <v>72</v>
      </c>
      <c r="J371" s="20" t="s">
        <v>25</v>
      </c>
      <c r="K371" s="20" t="s">
        <v>597</v>
      </c>
    </row>
    <row r="372" spans="1:11" ht="30" customHeight="1" x14ac:dyDescent="0.25">
      <c r="A372" s="20" t="s">
        <v>308</v>
      </c>
      <c r="B372" s="20" t="s">
        <v>309</v>
      </c>
      <c r="C372" s="20" t="s">
        <v>594</v>
      </c>
      <c r="D372" s="20" t="s">
        <v>595</v>
      </c>
      <c r="E372" s="20" t="s">
        <v>595</v>
      </c>
      <c r="F372" s="20" t="s">
        <v>999</v>
      </c>
      <c r="G372" s="20" t="s">
        <v>78</v>
      </c>
      <c r="H372" s="20" t="s">
        <v>71</v>
      </c>
      <c r="I372" s="20" t="s">
        <v>72</v>
      </c>
      <c r="J372" s="20" t="s">
        <v>25</v>
      </c>
      <c r="K372" s="20" t="s">
        <v>597</v>
      </c>
    </row>
    <row r="373" spans="1:11" ht="30" customHeight="1" x14ac:dyDescent="0.25">
      <c r="A373" s="20" t="s">
        <v>308</v>
      </c>
      <c r="B373" s="20" t="s">
        <v>309</v>
      </c>
      <c r="C373" s="20" t="s">
        <v>962</v>
      </c>
      <c r="D373" s="20" t="s">
        <v>963</v>
      </c>
      <c r="E373" s="20" t="s">
        <v>860</v>
      </c>
      <c r="F373" s="20" t="s">
        <v>1000</v>
      </c>
      <c r="G373" s="20" t="s">
        <v>78</v>
      </c>
      <c r="H373" s="20" t="s">
        <v>71</v>
      </c>
      <c r="I373" s="20" t="s">
        <v>72</v>
      </c>
      <c r="J373" s="20" t="s">
        <v>25</v>
      </c>
      <c r="K373" s="20" t="s">
        <v>597</v>
      </c>
    </row>
    <row r="374" spans="1:11" ht="30" customHeight="1" x14ac:dyDescent="0.25">
      <c r="A374" s="20" t="s">
        <v>308</v>
      </c>
      <c r="B374" s="20" t="s">
        <v>309</v>
      </c>
      <c r="C374" s="20" t="s">
        <v>654</v>
      </c>
      <c r="D374" s="20" t="s">
        <v>655</v>
      </c>
      <c r="E374" s="20" t="s">
        <v>595</v>
      </c>
      <c r="F374" s="20" t="s">
        <v>1001</v>
      </c>
      <c r="G374" s="20" t="s">
        <v>78</v>
      </c>
      <c r="H374" s="20" t="s">
        <v>78</v>
      </c>
      <c r="I374" s="20" t="s">
        <v>72</v>
      </c>
      <c r="J374" s="20" t="s">
        <v>25</v>
      </c>
      <c r="K374" s="20" t="s">
        <v>597</v>
      </c>
    </row>
    <row r="375" spans="1:11" ht="30" customHeight="1" x14ac:dyDescent="0.25">
      <c r="A375" s="20" t="s">
        <v>308</v>
      </c>
      <c r="B375" s="20" t="s">
        <v>309</v>
      </c>
      <c r="C375" s="20" t="s">
        <v>858</v>
      </c>
      <c r="D375" s="20" t="s">
        <v>859</v>
      </c>
      <c r="E375" s="20" t="s">
        <v>860</v>
      </c>
      <c r="F375" s="20" t="s">
        <v>1002</v>
      </c>
      <c r="G375" s="20" t="s">
        <v>78</v>
      </c>
      <c r="H375" s="20" t="s">
        <v>71</v>
      </c>
      <c r="I375" s="20" t="s">
        <v>72</v>
      </c>
      <c r="J375" s="20" t="s">
        <v>25</v>
      </c>
      <c r="K375" s="20" t="s">
        <v>597</v>
      </c>
    </row>
    <row r="376" spans="1:11" ht="30" customHeight="1" x14ac:dyDescent="0.25">
      <c r="A376" s="20" t="s">
        <v>308</v>
      </c>
      <c r="B376" s="20" t="s">
        <v>309</v>
      </c>
      <c r="C376" s="20" t="s">
        <v>605</v>
      </c>
      <c r="D376" s="20" t="s">
        <v>606</v>
      </c>
      <c r="E376" s="20" t="s">
        <v>607</v>
      </c>
      <c r="F376" s="20" t="s">
        <v>1003</v>
      </c>
      <c r="G376" s="20" t="s">
        <v>78</v>
      </c>
      <c r="H376" s="20" t="s">
        <v>78</v>
      </c>
      <c r="I376" s="20" t="s">
        <v>72</v>
      </c>
      <c r="J376" s="20" t="s">
        <v>25</v>
      </c>
      <c r="K376" s="20" t="s">
        <v>597</v>
      </c>
    </row>
    <row r="377" spans="1:11" ht="30" customHeight="1" x14ac:dyDescent="0.25">
      <c r="A377" s="20" t="s">
        <v>308</v>
      </c>
      <c r="B377" s="20" t="s">
        <v>309</v>
      </c>
      <c r="C377" s="20" t="s">
        <v>609</v>
      </c>
      <c r="D377" s="20" t="s">
        <v>610</v>
      </c>
      <c r="E377" s="20" t="s">
        <v>595</v>
      </c>
      <c r="F377" s="20" t="s">
        <v>1004</v>
      </c>
      <c r="G377" s="20" t="s">
        <v>78</v>
      </c>
      <c r="H377" s="20" t="s">
        <v>71</v>
      </c>
      <c r="I377" s="20" t="s">
        <v>72</v>
      </c>
      <c r="J377" s="20" t="s">
        <v>25</v>
      </c>
      <c r="K377" s="20" t="s">
        <v>597</v>
      </c>
    </row>
    <row r="378" spans="1:11" ht="30" customHeight="1" x14ac:dyDescent="0.25">
      <c r="A378" s="20" t="s">
        <v>312</v>
      </c>
      <c r="B378" s="20" t="s">
        <v>313</v>
      </c>
      <c r="C378" s="20" t="s">
        <v>594</v>
      </c>
      <c r="D378" s="20" t="s">
        <v>595</v>
      </c>
      <c r="E378" s="20" t="s">
        <v>595</v>
      </c>
      <c r="F378" s="20" t="s">
        <v>1005</v>
      </c>
      <c r="G378" s="20" t="s">
        <v>71</v>
      </c>
      <c r="H378" s="20" t="s">
        <v>71</v>
      </c>
      <c r="I378" s="20" t="s">
        <v>72</v>
      </c>
      <c r="J378" s="20" t="s">
        <v>25</v>
      </c>
      <c r="K378" s="20" t="s">
        <v>597</v>
      </c>
    </row>
    <row r="379" spans="1:11" ht="30" customHeight="1" x14ac:dyDescent="0.25">
      <c r="A379" s="20" t="s">
        <v>312</v>
      </c>
      <c r="B379" s="20" t="s">
        <v>313</v>
      </c>
      <c r="C379" s="20" t="s">
        <v>962</v>
      </c>
      <c r="D379" s="20" t="s">
        <v>963</v>
      </c>
      <c r="E379" s="20" t="s">
        <v>860</v>
      </c>
      <c r="F379" s="20" t="s">
        <v>1006</v>
      </c>
      <c r="G379" s="20" t="s">
        <v>71</v>
      </c>
      <c r="H379" s="20" t="s">
        <v>71</v>
      </c>
      <c r="I379" s="20" t="s">
        <v>72</v>
      </c>
      <c r="J379" s="20" t="s">
        <v>25</v>
      </c>
      <c r="K379" s="20" t="s">
        <v>597</v>
      </c>
    </row>
    <row r="380" spans="1:11" ht="30" customHeight="1" x14ac:dyDescent="0.25">
      <c r="A380" s="20" t="s">
        <v>312</v>
      </c>
      <c r="B380" s="20" t="s">
        <v>313</v>
      </c>
      <c r="C380" s="20" t="s">
        <v>654</v>
      </c>
      <c r="D380" s="20" t="s">
        <v>655</v>
      </c>
      <c r="E380" s="20" t="s">
        <v>595</v>
      </c>
      <c r="F380" s="20" t="s">
        <v>1007</v>
      </c>
      <c r="G380" s="20" t="s">
        <v>71</v>
      </c>
      <c r="H380" s="20" t="s">
        <v>78</v>
      </c>
      <c r="I380" s="20" t="s">
        <v>72</v>
      </c>
      <c r="J380" s="20" t="s">
        <v>25</v>
      </c>
      <c r="K380" s="20" t="s">
        <v>597</v>
      </c>
    </row>
    <row r="381" spans="1:11" ht="30" customHeight="1" x14ac:dyDescent="0.25">
      <c r="A381" s="20" t="s">
        <v>312</v>
      </c>
      <c r="B381" s="20" t="s">
        <v>313</v>
      </c>
      <c r="C381" s="20" t="s">
        <v>858</v>
      </c>
      <c r="D381" s="20" t="s">
        <v>859</v>
      </c>
      <c r="E381" s="20" t="s">
        <v>860</v>
      </c>
      <c r="F381" s="20" t="s">
        <v>1008</v>
      </c>
      <c r="G381" s="20" t="s">
        <v>71</v>
      </c>
      <c r="H381" s="20" t="s">
        <v>71</v>
      </c>
      <c r="I381" s="20" t="s">
        <v>72</v>
      </c>
      <c r="J381" s="20" t="s">
        <v>25</v>
      </c>
      <c r="K381" s="20" t="s">
        <v>597</v>
      </c>
    </row>
    <row r="382" spans="1:11" ht="30" customHeight="1" x14ac:dyDescent="0.25">
      <c r="A382" s="20" t="s">
        <v>312</v>
      </c>
      <c r="B382" s="20" t="s">
        <v>313</v>
      </c>
      <c r="C382" s="20" t="s">
        <v>605</v>
      </c>
      <c r="D382" s="20" t="s">
        <v>606</v>
      </c>
      <c r="E382" s="20" t="s">
        <v>607</v>
      </c>
      <c r="F382" s="20" t="s">
        <v>1009</v>
      </c>
      <c r="G382" s="20" t="s">
        <v>71</v>
      </c>
      <c r="H382" s="20" t="s">
        <v>78</v>
      </c>
      <c r="I382" s="20" t="s">
        <v>72</v>
      </c>
      <c r="J382" s="20" t="s">
        <v>25</v>
      </c>
      <c r="K382" s="20" t="s">
        <v>597</v>
      </c>
    </row>
    <row r="383" spans="1:11" ht="30" customHeight="1" x14ac:dyDescent="0.25">
      <c r="A383" s="20" t="s">
        <v>312</v>
      </c>
      <c r="B383" s="20" t="s">
        <v>313</v>
      </c>
      <c r="C383" s="20" t="s">
        <v>609</v>
      </c>
      <c r="D383" s="20" t="s">
        <v>610</v>
      </c>
      <c r="E383" s="20" t="s">
        <v>595</v>
      </c>
      <c r="F383" s="20" t="s">
        <v>1010</v>
      </c>
      <c r="G383" s="20" t="s">
        <v>71</v>
      </c>
      <c r="H383" s="20" t="s">
        <v>71</v>
      </c>
      <c r="I383" s="20" t="s">
        <v>72</v>
      </c>
      <c r="J383" s="20" t="s">
        <v>25</v>
      </c>
      <c r="K383" s="20" t="s">
        <v>597</v>
      </c>
    </row>
    <row r="384" spans="1:11" ht="30" customHeight="1" x14ac:dyDescent="0.25">
      <c r="A384" s="20" t="s">
        <v>316</v>
      </c>
      <c r="B384" s="20" t="s">
        <v>317</v>
      </c>
      <c r="C384" s="20" t="s">
        <v>594</v>
      </c>
      <c r="D384" s="20" t="s">
        <v>595</v>
      </c>
      <c r="E384" s="20" t="s">
        <v>595</v>
      </c>
      <c r="F384" s="20" t="s">
        <v>1011</v>
      </c>
      <c r="G384" s="20" t="s">
        <v>78</v>
      </c>
      <c r="H384" s="20" t="s">
        <v>71</v>
      </c>
      <c r="I384" s="20" t="s">
        <v>72</v>
      </c>
      <c r="J384" s="20" t="s">
        <v>25</v>
      </c>
      <c r="K384" s="20" t="s">
        <v>597</v>
      </c>
    </row>
    <row r="385" spans="1:11" ht="30" customHeight="1" x14ac:dyDescent="0.25">
      <c r="A385" s="20" t="s">
        <v>316</v>
      </c>
      <c r="B385" s="20" t="s">
        <v>317</v>
      </c>
      <c r="C385" s="20" t="s">
        <v>962</v>
      </c>
      <c r="D385" s="20" t="s">
        <v>963</v>
      </c>
      <c r="E385" s="20" t="s">
        <v>860</v>
      </c>
      <c r="F385" s="20" t="s">
        <v>1012</v>
      </c>
      <c r="G385" s="20" t="s">
        <v>78</v>
      </c>
      <c r="H385" s="20" t="s">
        <v>71</v>
      </c>
      <c r="I385" s="20" t="s">
        <v>72</v>
      </c>
      <c r="J385" s="20" t="s">
        <v>25</v>
      </c>
      <c r="K385" s="20" t="s">
        <v>597</v>
      </c>
    </row>
    <row r="386" spans="1:11" ht="30" customHeight="1" x14ac:dyDescent="0.25">
      <c r="A386" s="20" t="s">
        <v>316</v>
      </c>
      <c r="B386" s="20" t="s">
        <v>317</v>
      </c>
      <c r="C386" s="20" t="s">
        <v>654</v>
      </c>
      <c r="D386" s="20" t="s">
        <v>655</v>
      </c>
      <c r="E386" s="20" t="s">
        <v>595</v>
      </c>
      <c r="F386" s="20" t="s">
        <v>1013</v>
      </c>
      <c r="G386" s="20" t="s">
        <v>78</v>
      </c>
      <c r="H386" s="20" t="s">
        <v>78</v>
      </c>
      <c r="I386" s="20" t="s">
        <v>72</v>
      </c>
      <c r="J386" s="20" t="s">
        <v>25</v>
      </c>
      <c r="K386" s="20" t="s">
        <v>597</v>
      </c>
    </row>
    <row r="387" spans="1:11" ht="30" customHeight="1" x14ac:dyDescent="0.25">
      <c r="A387" s="20" t="s">
        <v>316</v>
      </c>
      <c r="B387" s="20" t="s">
        <v>317</v>
      </c>
      <c r="C387" s="20" t="s">
        <v>858</v>
      </c>
      <c r="D387" s="20" t="s">
        <v>859</v>
      </c>
      <c r="E387" s="20" t="s">
        <v>860</v>
      </c>
      <c r="F387" s="20" t="s">
        <v>1014</v>
      </c>
      <c r="G387" s="20" t="s">
        <v>78</v>
      </c>
      <c r="H387" s="20" t="s">
        <v>71</v>
      </c>
      <c r="I387" s="20" t="s">
        <v>72</v>
      </c>
      <c r="J387" s="20" t="s">
        <v>25</v>
      </c>
      <c r="K387" s="20" t="s">
        <v>597</v>
      </c>
    </row>
    <row r="388" spans="1:11" ht="30" customHeight="1" x14ac:dyDescent="0.25">
      <c r="A388" s="20" t="s">
        <v>316</v>
      </c>
      <c r="B388" s="20" t="s">
        <v>317</v>
      </c>
      <c r="C388" s="20" t="s">
        <v>605</v>
      </c>
      <c r="D388" s="20" t="s">
        <v>606</v>
      </c>
      <c r="E388" s="20" t="s">
        <v>607</v>
      </c>
      <c r="F388" s="20" t="s">
        <v>1015</v>
      </c>
      <c r="G388" s="20" t="s">
        <v>78</v>
      </c>
      <c r="H388" s="20" t="s">
        <v>78</v>
      </c>
      <c r="I388" s="20" t="s">
        <v>72</v>
      </c>
      <c r="J388" s="20" t="s">
        <v>25</v>
      </c>
      <c r="K388" s="20" t="s">
        <v>597</v>
      </c>
    </row>
    <row r="389" spans="1:11" ht="30" customHeight="1" x14ac:dyDescent="0.25">
      <c r="A389" s="20" t="s">
        <v>316</v>
      </c>
      <c r="B389" s="20" t="s">
        <v>317</v>
      </c>
      <c r="C389" s="20" t="s">
        <v>609</v>
      </c>
      <c r="D389" s="20" t="s">
        <v>610</v>
      </c>
      <c r="E389" s="20" t="s">
        <v>595</v>
      </c>
      <c r="F389" s="20" t="s">
        <v>1016</v>
      </c>
      <c r="G389" s="20" t="s">
        <v>78</v>
      </c>
      <c r="H389" s="20" t="s">
        <v>71</v>
      </c>
      <c r="I389" s="20" t="s">
        <v>72</v>
      </c>
      <c r="J389" s="20" t="s">
        <v>25</v>
      </c>
      <c r="K389" s="20" t="s">
        <v>597</v>
      </c>
    </row>
    <row r="390" spans="1:11" ht="30" customHeight="1" x14ac:dyDescent="0.25">
      <c r="A390" s="20" t="s">
        <v>320</v>
      </c>
      <c r="B390" s="20" t="s">
        <v>321</v>
      </c>
      <c r="C390" s="20" t="s">
        <v>594</v>
      </c>
      <c r="D390" s="20" t="s">
        <v>595</v>
      </c>
      <c r="E390" s="20" t="s">
        <v>595</v>
      </c>
      <c r="F390" s="20" t="s">
        <v>1017</v>
      </c>
      <c r="G390" s="20" t="s">
        <v>78</v>
      </c>
      <c r="H390" s="20" t="s">
        <v>71</v>
      </c>
      <c r="I390" s="20" t="s">
        <v>72</v>
      </c>
      <c r="J390" s="20" t="s">
        <v>25</v>
      </c>
      <c r="K390" s="20" t="s">
        <v>597</v>
      </c>
    </row>
    <row r="391" spans="1:11" ht="30" customHeight="1" x14ac:dyDescent="0.25">
      <c r="A391" s="20" t="s">
        <v>320</v>
      </c>
      <c r="B391" s="20" t="s">
        <v>321</v>
      </c>
      <c r="C391" s="20" t="s">
        <v>962</v>
      </c>
      <c r="D391" s="20" t="s">
        <v>963</v>
      </c>
      <c r="E391" s="20" t="s">
        <v>860</v>
      </c>
      <c r="F391" s="20" t="s">
        <v>1018</v>
      </c>
      <c r="G391" s="20" t="s">
        <v>78</v>
      </c>
      <c r="H391" s="20" t="s">
        <v>71</v>
      </c>
      <c r="I391" s="20" t="s">
        <v>72</v>
      </c>
      <c r="J391" s="20" t="s">
        <v>25</v>
      </c>
      <c r="K391" s="20" t="s">
        <v>597</v>
      </c>
    </row>
    <row r="392" spans="1:11" ht="30" customHeight="1" x14ac:dyDescent="0.25">
      <c r="A392" s="20" t="s">
        <v>320</v>
      </c>
      <c r="B392" s="20" t="s">
        <v>321</v>
      </c>
      <c r="C392" s="20" t="s">
        <v>654</v>
      </c>
      <c r="D392" s="20" t="s">
        <v>655</v>
      </c>
      <c r="E392" s="20" t="s">
        <v>595</v>
      </c>
      <c r="F392" s="20" t="s">
        <v>1019</v>
      </c>
      <c r="G392" s="20" t="s">
        <v>78</v>
      </c>
      <c r="H392" s="20" t="s">
        <v>78</v>
      </c>
      <c r="I392" s="20" t="s">
        <v>72</v>
      </c>
      <c r="J392" s="20" t="s">
        <v>25</v>
      </c>
      <c r="K392" s="20" t="s">
        <v>597</v>
      </c>
    </row>
    <row r="393" spans="1:11" ht="30" customHeight="1" x14ac:dyDescent="0.25">
      <c r="A393" s="20" t="s">
        <v>320</v>
      </c>
      <c r="B393" s="20" t="s">
        <v>321</v>
      </c>
      <c r="C393" s="20" t="s">
        <v>858</v>
      </c>
      <c r="D393" s="20" t="s">
        <v>859</v>
      </c>
      <c r="E393" s="20" t="s">
        <v>860</v>
      </c>
      <c r="F393" s="20" t="s">
        <v>1020</v>
      </c>
      <c r="G393" s="20" t="s">
        <v>78</v>
      </c>
      <c r="H393" s="20" t="s">
        <v>71</v>
      </c>
      <c r="I393" s="20" t="s">
        <v>72</v>
      </c>
      <c r="J393" s="20" t="s">
        <v>25</v>
      </c>
      <c r="K393" s="20" t="s">
        <v>597</v>
      </c>
    </row>
    <row r="394" spans="1:11" ht="30" customHeight="1" x14ac:dyDescent="0.25">
      <c r="A394" s="20" t="s">
        <v>320</v>
      </c>
      <c r="B394" s="20" t="s">
        <v>321</v>
      </c>
      <c r="C394" s="20" t="s">
        <v>605</v>
      </c>
      <c r="D394" s="20" t="s">
        <v>606</v>
      </c>
      <c r="E394" s="20" t="s">
        <v>607</v>
      </c>
      <c r="F394" s="20" t="s">
        <v>1021</v>
      </c>
      <c r="G394" s="20" t="s">
        <v>78</v>
      </c>
      <c r="H394" s="20" t="s">
        <v>78</v>
      </c>
      <c r="I394" s="20" t="s">
        <v>72</v>
      </c>
      <c r="J394" s="20" t="s">
        <v>25</v>
      </c>
      <c r="K394" s="20" t="s">
        <v>597</v>
      </c>
    </row>
    <row r="395" spans="1:11" ht="30" customHeight="1" x14ac:dyDescent="0.25">
      <c r="A395" s="20" t="s">
        <v>320</v>
      </c>
      <c r="B395" s="20" t="s">
        <v>321</v>
      </c>
      <c r="C395" s="20" t="s">
        <v>609</v>
      </c>
      <c r="D395" s="20" t="s">
        <v>610</v>
      </c>
      <c r="E395" s="20" t="s">
        <v>595</v>
      </c>
      <c r="F395" s="20" t="s">
        <v>1022</v>
      </c>
      <c r="G395" s="20" t="s">
        <v>78</v>
      </c>
      <c r="H395" s="20" t="s">
        <v>71</v>
      </c>
      <c r="I395" s="20" t="s">
        <v>72</v>
      </c>
      <c r="J395" s="20" t="s">
        <v>25</v>
      </c>
      <c r="K395" s="20" t="s">
        <v>597</v>
      </c>
    </row>
    <row r="396" spans="1:11" ht="30" customHeight="1" x14ac:dyDescent="0.25">
      <c r="A396" s="20" t="s">
        <v>323</v>
      </c>
      <c r="B396" s="20" t="s">
        <v>324</v>
      </c>
      <c r="C396" s="20" t="s">
        <v>594</v>
      </c>
      <c r="D396" s="20" t="s">
        <v>595</v>
      </c>
      <c r="E396" s="20" t="s">
        <v>595</v>
      </c>
      <c r="F396" s="20" t="s">
        <v>1023</v>
      </c>
      <c r="G396" s="20" t="s">
        <v>71</v>
      </c>
      <c r="H396" s="20" t="s">
        <v>71</v>
      </c>
      <c r="I396" s="20" t="s">
        <v>72</v>
      </c>
      <c r="J396" s="20" t="s">
        <v>25</v>
      </c>
      <c r="K396" s="20" t="s">
        <v>597</v>
      </c>
    </row>
    <row r="397" spans="1:11" ht="30" customHeight="1" x14ac:dyDescent="0.25">
      <c r="A397" s="20" t="s">
        <v>323</v>
      </c>
      <c r="B397" s="20" t="s">
        <v>324</v>
      </c>
      <c r="C397" s="20" t="s">
        <v>962</v>
      </c>
      <c r="D397" s="20" t="s">
        <v>963</v>
      </c>
      <c r="E397" s="20" t="s">
        <v>860</v>
      </c>
      <c r="F397" s="20" t="s">
        <v>1024</v>
      </c>
      <c r="G397" s="20" t="s">
        <v>71</v>
      </c>
      <c r="H397" s="20" t="s">
        <v>71</v>
      </c>
      <c r="I397" s="20" t="s">
        <v>72</v>
      </c>
      <c r="J397" s="20" t="s">
        <v>25</v>
      </c>
      <c r="K397" s="20" t="s">
        <v>597</v>
      </c>
    </row>
    <row r="398" spans="1:11" ht="30" customHeight="1" x14ac:dyDescent="0.25">
      <c r="A398" s="20" t="s">
        <v>323</v>
      </c>
      <c r="B398" s="20" t="s">
        <v>324</v>
      </c>
      <c r="C398" s="20" t="s">
        <v>654</v>
      </c>
      <c r="D398" s="20" t="s">
        <v>655</v>
      </c>
      <c r="E398" s="20" t="s">
        <v>595</v>
      </c>
      <c r="F398" s="20" t="s">
        <v>1025</v>
      </c>
      <c r="G398" s="20" t="s">
        <v>71</v>
      </c>
      <c r="H398" s="20" t="s">
        <v>78</v>
      </c>
      <c r="I398" s="20" t="s">
        <v>72</v>
      </c>
      <c r="J398" s="20" t="s">
        <v>25</v>
      </c>
      <c r="K398" s="20" t="s">
        <v>597</v>
      </c>
    </row>
    <row r="399" spans="1:11" ht="30" customHeight="1" x14ac:dyDescent="0.25">
      <c r="A399" s="20" t="s">
        <v>323</v>
      </c>
      <c r="B399" s="20" t="s">
        <v>324</v>
      </c>
      <c r="C399" s="20" t="s">
        <v>858</v>
      </c>
      <c r="D399" s="20" t="s">
        <v>859</v>
      </c>
      <c r="E399" s="20" t="s">
        <v>860</v>
      </c>
      <c r="F399" s="20" t="s">
        <v>1026</v>
      </c>
      <c r="G399" s="20" t="s">
        <v>71</v>
      </c>
      <c r="H399" s="20" t="s">
        <v>71</v>
      </c>
      <c r="I399" s="20" t="s">
        <v>72</v>
      </c>
      <c r="J399" s="20" t="s">
        <v>25</v>
      </c>
      <c r="K399" s="20" t="s">
        <v>597</v>
      </c>
    </row>
    <row r="400" spans="1:11" ht="30" customHeight="1" x14ac:dyDescent="0.25">
      <c r="A400" s="20" t="s">
        <v>323</v>
      </c>
      <c r="B400" s="20" t="s">
        <v>324</v>
      </c>
      <c r="C400" s="20" t="s">
        <v>605</v>
      </c>
      <c r="D400" s="20" t="s">
        <v>606</v>
      </c>
      <c r="E400" s="20" t="s">
        <v>607</v>
      </c>
      <c r="F400" s="20" t="s">
        <v>1027</v>
      </c>
      <c r="G400" s="20" t="s">
        <v>71</v>
      </c>
      <c r="H400" s="20" t="s">
        <v>78</v>
      </c>
      <c r="I400" s="20" t="s">
        <v>72</v>
      </c>
      <c r="J400" s="20" t="s">
        <v>25</v>
      </c>
      <c r="K400" s="20" t="s">
        <v>597</v>
      </c>
    </row>
    <row r="401" spans="1:11" ht="30" customHeight="1" x14ac:dyDescent="0.25">
      <c r="A401" s="20" t="s">
        <v>323</v>
      </c>
      <c r="B401" s="20" t="s">
        <v>324</v>
      </c>
      <c r="C401" s="20" t="s">
        <v>609</v>
      </c>
      <c r="D401" s="20" t="s">
        <v>610</v>
      </c>
      <c r="E401" s="20" t="s">
        <v>595</v>
      </c>
      <c r="F401" s="20" t="s">
        <v>1028</v>
      </c>
      <c r="G401" s="20" t="s">
        <v>71</v>
      </c>
      <c r="H401" s="20" t="s">
        <v>71</v>
      </c>
      <c r="I401" s="20" t="s">
        <v>72</v>
      </c>
      <c r="J401" s="20" t="s">
        <v>25</v>
      </c>
      <c r="K401" s="20" t="s">
        <v>597</v>
      </c>
    </row>
    <row r="402" spans="1:11" ht="30" customHeight="1" x14ac:dyDescent="0.25">
      <c r="A402" s="20" t="s">
        <v>327</v>
      </c>
      <c r="B402" s="20" t="s">
        <v>328</v>
      </c>
      <c r="C402" s="20" t="s">
        <v>594</v>
      </c>
      <c r="D402" s="20" t="s">
        <v>595</v>
      </c>
      <c r="E402" s="20" t="s">
        <v>595</v>
      </c>
      <c r="F402" s="20" t="s">
        <v>1029</v>
      </c>
      <c r="G402" s="20" t="s">
        <v>71</v>
      </c>
      <c r="H402" s="20" t="s">
        <v>71</v>
      </c>
      <c r="I402" s="20" t="s">
        <v>72</v>
      </c>
      <c r="J402" s="20" t="s">
        <v>25</v>
      </c>
      <c r="K402" s="20" t="s">
        <v>597</v>
      </c>
    </row>
    <row r="403" spans="1:11" ht="30" customHeight="1" x14ac:dyDescent="0.25">
      <c r="A403" s="20" t="s">
        <v>327</v>
      </c>
      <c r="B403" s="20" t="s">
        <v>328</v>
      </c>
      <c r="C403" s="20" t="s">
        <v>962</v>
      </c>
      <c r="D403" s="20" t="s">
        <v>963</v>
      </c>
      <c r="E403" s="20" t="s">
        <v>860</v>
      </c>
      <c r="F403" s="20" t="s">
        <v>1030</v>
      </c>
      <c r="G403" s="20" t="s">
        <v>71</v>
      </c>
      <c r="H403" s="20" t="s">
        <v>71</v>
      </c>
      <c r="I403" s="20" t="s">
        <v>72</v>
      </c>
      <c r="J403" s="20" t="s">
        <v>25</v>
      </c>
      <c r="K403" s="20" t="s">
        <v>597</v>
      </c>
    </row>
    <row r="404" spans="1:11" ht="30" customHeight="1" x14ac:dyDescent="0.25">
      <c r="A404" s="20" t="s">
        <v>327</v>
      </c>
      <c r="B404" s="20" t="s">
        <v>328</v>
      </c>
      <c r="C404" s="20" t="s">
        <v>654</v>
      </c>
      <c r="D404" s="20" t="s">
        <v>655</v>
      </c>
      <c r="E404" s="20" t="s">
        <v>595</v>
      </c>
      <c r="F404" s="20" t="s">
        <v>1031</v>
      </c>
      <c r="G404" s="20" t="s">
        <v>71</v>
      </c>
      <c r="H404" s="20" t="s">
        <v>78</v>
      </c>
      <c r="I404" s="20" t="s">
        <v>72</v>
      </c>
      <c r="J404" s="20" t="s">
        <v>25</v>
      </c>
      <c r="K404" s="20" t="s">
        <v>597</v>
      </c>
    </row>
    <row r="405" spans="1:11" ht="30" customHeight="1" x14ac:dyDescent="0.25">
      <c r="A405" s="20" t="s">
        <v>327</v>
      </c>
      <c r="B405" s="20" t="s">
        <v>328</v>
      </c>
      <c r="C405" s="20" t="s">
        <v>858</v>
      </c>
      <c r="D405" s="20" t="s">
        <v>859</v>
      </c>
      <c r="E405" s="20" t="s">
        <v>860</v>
      </c>
      <c r="F405" s="20" t="s">
        <v>1032</v>
      </c>
      <c r="G405" s="20" t="s">
        <v>71</v>
      </c>
      <c r="H405" s="20" t="s">
        <v>71</v>
      </c>
      <c r="I405" s="20" t="s">
        <v>72</v>
      </c>
      <c r="J405" s="20" t="s">
        <v>25</v>
      </c>
      <c r="K405" s="20" t="s">
        <v>597</v>
      </c>
    </row>
    <row r="406" spans="1:11" ht="30" customHeight="1" x14ac:dyDescent="0.25">
      <c r="A406" s="20" t="s">
        <v>327</v>
      </c>
      <c r="B406" s="20" t="s">
        <v>328</v>
      </c>
      <c r="C406" s="20" t="s">
        <v>605</v>
      </c>
      <c r="D406" s="20" t="s">
        <v>606</v>
      </c>
      <c r="E406" s="20" t="s">
        <v>607</v>
      </c>
      <c r="F406" s="20" t="s">
        <v>1033</v>
      </c>
      <c r="G406" s="20" t="s">
        <v>71</v>
      </c>
      <c r="H406" s="20" t="s">
        <v>78</v>
      </c>
      <c r="I406" s="20" t="s">
        <v>72</v>
      </c>
      <c r="J406" s="20" t="s">
        <v>25</v>
      </c>
      <c r="K406" s="20" t="s">
        <v>597</v>
      </c>
    </row>
    <row r="407" spans="1:11" ht="30" customHeight="1" x14ac:dyDescent="0.25">
      <c r="A407" s="20" t="s">
        <v>327</v>
      </c>
      <c r="B407" s="20" t="s">
        <v>328</v>
      </c>
      <c r="C407" s="20" t="s">
        <v>609</v>
      </c>
      <c r="D407" s="20" t="s">
        <v>610</v>
      </c>
      <c r="E407" s="20" t="s">
        <v>595</v>
      </c>
      <c r="F407" s="20" t="s">
        <v>1034</v>
      </c>
      <c r="G407" s="20" t="s">
        <v>71</v>
      </c>
      <c r="H407" s="20" t="s">
        <v>71</v>
      </c>
      <c r="I407" s="20" t="s">
        <v>72</v>
      </c>
      <c r="J407" s="20" t="s">
        <v>25</v>
      </c>
      <c r="K407" s="20" t="s">
        <v>597</v>
      </c>
    </row>
    <row r="408" spans="1:11" ht="30" customHeight="1" x14ac:dyDescent="0.25">
      <c r="A408" s="20" t="s">
        <v>332</v>
      </c>
      <c r="B408" s="20" t="s">
        <v>333</v>
      </c>
      <c r="C408" s="20" t="s">
        <v>594</v>
      </c>
      <c r="D408" s="20" t="s">
        <v>595</v>
      </c>
      <c r="E408" s="20" t="s">
        <v>595</v>
      </c>
      <c r="F408" s="20" t="s">
        <v>1035</v>
      </c>
      <c r="G408" s="20" t="s">
        <v>78</v>
      </c>
      <c r="H408" s="20" t="s">
        <v>71</v>
      </c>
      <c r="I408" s="20" t="s">
        <v>72</v>
      </c>
      <c r="J408" s="20" t="s">
        <v>25</v>
      </c>
      <c r="K408" s="20" t="s">
        <v>597</v>
      </c>
    </row>
    <row r="409" spans="1:11" ht="30" customHeight="1" x14ac:dyDescent="0.25">
      <c r="A409" s="20" t="s">
        <v>332</v>
      </c>
      <c r="B409" s="20" t="s">
        <v>333</v>
      </c>
      <c r="C409" s="20" t="s">
        <v>962</v>
      </c>
      <c r="D409" s="20" t="s">
        <v>963</v>
      </c>
      <c r="E409" s="20" t="s">
        <v>860</v>
      </c>
      <c r="F409" s="20" t="s">
        <v>1036</v>
      </c>
      <c r="G409" s="20" t="s">
        <v>78</v>
      </c>
      <c r="H409" s="20" t="s">
        <v>71</v>
      </c>
      <c r="I409" s="20" t="s">
        <v>72</v>
      </c>
      <c r="J409" s="20" t="s">
        <v>25</v>
      </c>
      <c r="K409" s="20" t="s">
        <v>597</v>
      </c>
    </row>
    <row r="410" spans="1:11" ht="30" customHeight="1" x14ac:dyDescent="0.25">
      <c r="A410" s="20" t="s">
        <v>332</v>
      </c>
      <c r="B410" s="20" t="s">
        <v>333</v>
      </c>
      <c r="C410" s="20" t="s">
        <v>654</v>
      </c>
      <c r="D410" s="20" t="s">
        <v>655</v>
      </c>
      <c r="E410" s="20" t="s">
        <v>595</v>
      </c>
      <c r="F410" s="20" t="s">
        <v>1037</v>
      </c>
      <c r="G410" s="20" t="s">
        <v>78</v>
      </c>
      <c r="H410" s="20" t="s">
        <v>78</v>
      </c>
      <c r="I410" s="20" t="s">
        <v>72</v>
      </c>
      <c r="J410" s="20" t="s">
        <v>25</v>
      </c>
      <c r="K410" s="20" t="s">
        <v>597</v>
      </c>
    </row>
    <row r="411" spans="1:11" ht="30" customHeight="1" x14ac:dyDescent="0.25">
      <c r="A411" s="20" t="s">
        <v>332</v>
      </c>
      <c r="B411" s="20" t="s">
        <v>333</v>
      </c>
      <c r="C411" s="20" t="s">
        <v>858</v>
      </c>
      <c r="D411" s="20" t="s">
        <v>859</v>
      </c>
      <c r="E411" s="20" t="s">
        <v>860</v>
      </c>
      <c r="F411" s="20" t="s">
        <v>1038</v>
      </c>
      <c r="G411" s="20" t="s">
        <v>78</v>
      </c>
      <c r="H411" s="20" t="s">
        <v>71</v>
      </c>
      <c r="I411" s="20" t="s">
        <v>72</v>
      </c>
      <c r="J411" s="20" t="s">
        <v>25</v>
      </c>
      <c r="K411" s="20" t="s">
        <v>597</v>
      </c>
    </row>
    <row r="412" spans="1:11" ht="30" customHeight="1" x14ac:dyDescent="0.25">
      <c r="A412" s="20" t="s">
        <v>332</v>
      </c>
      <c r="B412" s="20" t="s">
        <v>333</v>
      </c>
      <c r="C412" s="20" t="s">
        <v>605</v>
      </c>
      <c r="D412" s="20" t="s">
        <v>606</v>
      </c>
      <c r="E412" s="20" t="s">
        <v>607</v>
      </c>
      <c r="F412" s="20" t="s">
        <v>1039</v>
      </c>
      <c r="G412" s="20" t="s">
        <v>78</v>
      </c>
      <c r="H412" s="20" t="s">
        <v>78</v>
      </c>
      <c r="I412" s="20" t="s">
        <v>72</v>
      </c>
      <c r="J412" s="20" t="s">
        <v>25</v>
      </c>
      <c r="K412" s="20" t="s">
        <v>597</v>
      </c>
    </row>
    <row r="413" spans="1:11" ht="30" customHeight="1" x14ac:dyDescent="0.25">
      <c r="A413" s="20" t="s">
        <v>332</v>
      </c>
      <c r="B413" s="20" t="s">
        <v>333</v>
      </c>
      <c r="C413" s="20" t="s">
        <v>609</v>
      </c>
      <c r="D413" s="20" t="s">
        <v>610</v>
      </c>
      <c r="E413" s="20" t="s">
        <v>595</v>
      </c>
      <c r="F413" s="20" t="s">
        <v>1040</v>
      </c>
      <c r="G413" s="20" t="s">
        <v>78</v>
      </c>
      <c r="H413" s="20" t="s">
        <v>71</v>
      </c>
      <c r="I413" s="20" t="s">
        <v>72</v>
      </c>
      <c r="J413" s="20" t="s">
        <v>25</v>
      </c>
      <c r="K413" s="20" t="s">
        <v>597</v>
      </c>
    </row>
    <row r="414" spans="1:11" ht="30" customHeight="1" x14ac:dyDescent="0.25">
      <c r="A414" s="20" t="s">
        <v>336</v>
      </c>
      <c r="B414" s="20" t="s">
        <v>337</v>
      </c>
      <c r="C414" s="20" t="s">
        <v>594</v>
      </c>
      <c r="D414" s="20" t="s">
        <v>595</v>
      </c>
      <c r="E414" s="20" t="s">
        <v>595</v>
      </c>
      <c r="F414" s="20" t="s">
        <v>1041</v>
      </c>
      <c r="G414" s="20" t="s">
        <v>78</v>
      </c>
      <c r="H414" s="20" t="s">
        <v>71</v>
      </c>
      <c r="I414" s="20" t="s">
        <v>72</v>
      </c>
      <c r="J414" s="20" t="s">
        <v>25</v>
      </c>
      <c r="K414" s="20" t="s">
        <v>597</v>
      </c>
    </row>
    <row r="415" spans="1:11" ht="30" customHeight="1" x14ac:dyDescent="0.25">
      <c r="A415" s="20" t="s">
        <v>336</v>
      </c>
      <c r="B415" s="20" t="s">
        <v>337</v>
      </c>
      <c r="C415" s="20" t="s">
        <v>962</v>
      </c>
      <c r="D415" s="20" t="s">
        <v>963</v>
      </c>
      <c r="E415" s="20" t="s">
        <v>860</v>
      </c>
      <c r="F415" s="20" t="s">
        <v>1042</v>
      </c>
      <c r="G415" s="20" t="s">
        <v>78</v>
      </c>
      <c r="H415" s="20" t="s">
        <v>71</v>
      </c>
      <c r="I415" s="20" t="s">
        <v>72</v>
      </c>
      <c r="J415" s="20" t="s">
        <v>25</v>
      </c>
      <c r="K415" s="20" t="s">
        <v>597</v>
      </c>
    </row>
    <row r="416" spans="1:11" ht="30" customHeight="1" x14ac:dyDescent="0.25">
      <c r="A416" s="20" t="s">
        <v>336</v>
      </c>
      <c r="B416" s="20" t="s">
        <v>337</v>
      </c>
      <c r="C416" s="20" t="s">
        <v>654</v>
      </c>
      <c r="D416" s="20" t="s">
        <v>655</v>
      </c>
      <c r="E416" s="20" t="s">
        <v>595</v>
      </c>
      <c r="F416" s="20" t="s">
        <v>1043</v>
      </c>
      <c r="G416" s="20" t="s">
        <v>78</v>
      </c>
      <c r="H416" s="20" t="s">
        <v>78</v>
      </c>
      <c r="I416" s="20" t="s">
        <v>72</v>
      </c>
      <c r="J416" s="20" t="s">
        <v>25</v>
      </c>
      <c r="K416" s="20" t="s">
        <v>597</v>
      </c>
    </row>
    <row r="417" spans="1:11" ht="30" customHeight="1" x14ac:dyDescent="0.25">
      <c r="A417" s="20" t="s">
        <v>336</v>
      </c>
      <c r="B417" s="20" t="s">
        <v>337</v>
      </c>
      <c r="C417" s="20" t="s">
        <v>858</v>
      </c>
      <c r="D417" s="20" t="s">
        <v>859</v>
      </c>
      <c r="E417" s="20" t="s">
        <v>860</v>
      </c>
      <c r="F417" s="20" t="s">
        <v>1044</v>
      </c>
      <c r="G417" s="20" t="s">
        <v>78</v>
      </c>
      <c r="H417" s="20" t="s">
        <v>71</v>
      </c>
      <c r="I417" s="20" t="s">
        <v>72</v>
      </c>
      <c r="J417" s="20" t="s">
        <v>25</v>
      </c>
      <c r="K417" s="20" t="s">
        <v>597</v>
      </c>
    </row>
    <row r="418" spans="1:11" ht="30" customHeight="1" x14ac:dyDescent="0.25">
      <c r="A418" s="20" t="s">
        <v>336</v>
      </c>
      <c r="B418" s="20" t="s">
        <v>337</v>
      </c>
      <c r="C418" s="20" t="s">
        <v>605</v>
      </c>
      <c r="D418" s="20" t="s">
        <v>606</v>
      </c>
      <c r="E418" s="20" t="s">
        <v>607</v>
      </c>
      <c r="F418" s="20" t="s">
        <v>1045</v>
      </c>
      <c r="G418" s="20" t="s">
        <v>78</v>
      </c>
      <c r="H418" s="20" t="s">
        <v>78</v>
      </c>
      <c r="I418" s="20" t="s">
        <v>72</v>
      </c>
      <c r="J418" s="20" t="s">
        <v>25</v>
      </c>
      <c r="K418" s="20" t="s">
        <v>597</v>
      </c>
    </row>
    <row r="419" spans="1:11" ht="30" customHeight="1" x14ac:dyDescent="0.25">
      <c r="A419" s="20" t="s">
        <v>336</v>
      </c>
      <c r="B419" s="20" t="s">
        <v>337</v>
      </c>
      <c r="C419" s="20" t="s">
        <v>609</v>
      </c>
      <c r="D419" s="20" t="s">
        <v>610</v>
      </c>
      <c r="E419" s="20" t="s">
        <v>595</v>
      </c>
      <c r="F419" s="20" t="s">
        <v>1046</v>
      </c>
      <c r="G419" s="20" t="s">
        <v>78</v>
      </c>
      <c r="H419" s="20" t="s">
        <v>71</v>
      </c>
      <c r="I419" s="20" t="s">
        <v>72</v>
      </c>
      <c r="J419" s="20" t="s">
        <v>25</v>
      </c>
      <c r="K419" s="20" t="s">
        <v>597</v>
      </c>
    </row>
    <row r="420" spans="1:11" ht="30" customHeight="1" x14ac:dyDescent="0.25">
      <c r="A420" s="20" t="s">
        <v>339</v>
      </c>
      <c r="B420" s="20" t="s">
        <v>340</v>
      </c>
      <c r="C420" s="20" t="s">
        <v>594</v>
      </c>
      <c r="D420" s="20" t="s">
        <v>595</v>
      </c>
      <c r="E420" s="20" t="s">
        <v>595</v>
      </c>
      <c r="F420" s="20" t="s">
        <v>1047</v>
      </c>
      <c r="G420" s="20" t="s">
        <v>94</v>
      </c>
      <c r="H420" s="20" t="s">
        <v>71</v>
      </c>
      <c r="I420" s="20" t="s">
        <v>72</v>
      </c>
      <c r="J420" s="20" t="s">
        <v>25</v>
      </c>
      <c r="K420" s="20" t="s">
        <v>597</v>
      </c>
    </row>
    <row r="421" spans="1:11" ht="30" customHeight="1" x14ac:dyDescent="0.25">
      <c r="A421" s="20" t="s">
        <v>339</v>
      </c>
      <c r="B421" s="20" t="s">
        <v>340</v>
      </c>
      <c r="C421" s="20" t="s">
        <v>962</v>
      </c>
      <c r="D421" s="20" t="s">
        <v>963</v>
      </c>
      <c r="E421" s="20" t="s">
        <v>860</v>
      </c>
      <c r="F421" s="20" t="s">
        <v>1048</v>
      </c>
      <c r="G421" s="20" t="s">
        <v>94</v>
      </c>
      <c r="H421" s="20" t="s">
        <v>71</v>
      </c>
      <c r="I421" s="20" t="s">
        <v>72</v>
      </c>
      <c r="J421" s="20" t="s">
        <v>25</v>
      </c>
      <c r="K421" s="20" t="s">
        <v>597</v>
      </c>
    </row>
    <row r="422" spans="1:11" ht="30" customHeight="1" x14ac:dyDescent="0.25">
      <c r="A422" s="20" t="s">
        <v>339</v>
      </c>
      <c r="B422" s="20" t="s">
        <v>340</v>
      </c>
      <c r="C422" s="20" t="s">
        <v>654</v>
      </c>
      <c r="D422" s="20" t="s">
        <v>655</v>
      </c>
      <c r="E422" s="20" t="s">
        <v>595</v>
      </c>
      <c r="F422" s="20" t="s">
        <v>1049</v>
      </c>
      <c r="G422" s="20" t="s">
        <v>94</v>
      </c>
      <c r="H422" s="20" t="s">
        <v>78</v>
      </c>
      <c r="I422" s="20" t="s">
        <v>72</v>
      </c>
      <c r="J422" s="20" t="s">
        <v>25</v>
      </c>
      <c r="K422" s="20" t="s">
        <v>597</v>
      </c>
    </row>
    <row r="423" spans="1:11" ht="30" customHeight="1" x14ac:dyDescent="0.25">
      <c r="A423" s="20" t="s">
        <v>339</v>
      </c>
      <c r="B423" s="20" t="s">
        <v>340</v>
      </c>
      <c r="C423" s="20" t="s">
        <v>858</v>
      </c>
      <c r="D423" s="20" t="s">
        <v>859</v>
      </c>
      <c r="E423" s="20" t="s">
        <v>860</v>
      </c>
      <c r="F423" s="20" t="s">
        <v>1050</v>
      </c>
      <c r="G423" s="20" t="s">
        <v>94</v>
      </c>
      <c r="H423" s="20" t="s">
        <v>71</v>
      </c>
      <c r="I423" s="20" t="s">
        <v>72</v>
      </c>
      <c r="J423" s="20" t="s">
        <v>25</v>
      </c>
      <c r="K423" s="20" t="s">
        <v>597</v>
      </c>
    </row>
    <row r="424" spans="1:11" ht="30" customHeight="1" x14ac:dyDescent="0.25">
      <c r="A424" s="20" t="s">
        <v>339</v>
      </c>
      <c r="B424" s="20" t="s">
        <v>340</v>
      </c>
      <c r="C424" s="20" t="s">
        <v>605</v>
      </c>
      <c r="D424" s="20" t="s">
        <v>606</v>
      </c>
      <c r="E424" s="20" t="s">
        <v>607</v>
      </c>
      <c r="F424" s="20" t="s">
        <v>1051</v>
      </c>
      <c r="G424" s="20" t="s">
        <v>94</v>
      </c>
      <c r="H424" s="20" t="s">
        <v>78</v>
      </c>
      <c r="I424" s="20" t="s">
        <v>72</v>
      </c>
      <c r="J424" s="20" t="s">
        <v>25</v>
      </c>
      <c r="K424" s="20" t="s">
        <v>597</v>
      </c>
    </row>
    <row r="425" spans="1:11" ht="30" customHeight="1" x14ac:dyDescent="0.25">
      <c r="A425" s="20" t="s">
        <v>339</v>
      </c>
      <c r="B425" s="20" t="s">
        <v>340</v>
      </c>
      <c r="C425" s="20" t="s">
        <v>609</v>
      </c>
      <c r="D425" s="20" t="s">
        <v>610</v>
      </c>
      <c r="E425" s="20" t="s">
        <v>595</v>
      </c>
      <c r="F425" s="20" t="s">
        <v>1052</v>
      </c>
      <c r="G425" s="20" t="s">
        <v>94</v>
      </c>
      <c r="H425" s="20" t="s">
        <v>71</v>
      </c>
      <c r="I425" s="20" t="s">
        <v>72</v>
      </c>
      <c r="J425" s="20" t="s">
        <v>25</v>
      </c>
      <c r="K425" s="20" t="s">
        <v>597</v>
      </c>
    </row>
    <row r="426" spans="1:11" ht="30" customHeight="1" x14ac:dyDescent="0.25">
      <c r="A426" s="20" t="s">
        <v>343</v>
      </c>
      <c r="B426" s="20" t="s">
        <v>344</v>
      </c>
      <c r="C426" s="20" t="s">
        <v>594</v>
      </c>
      <c r="D426" s="20" t="s">
        <v>595</v>
      </c>
      <c r="E426" s="20" t="s">
        <v>595</v>
      </c>
      <c r="F426" s="20" t="s">
        <v>1053</v>
      </c>
      <c r="G426" s="20" t="s">
        <v>71</v>
      </c>
      <c r="H426" s="20" t="s">
        <v>71</v>
      </c>
      <c r="I426" s="20" t="s">
        <v>72</v>
      </c>
      <c r="J426" s="20" t="s">
        <v>25</v>
      </c>
      <c r="K426" s="20" t="s">
        <v>597</v>
      </c>
    </row>
    <row r="427" spans="1:11" ht="30" customHeight="1" x14ac:dyDescent="0.25">
      <c r="A427" s="20" t="s">
        <v>343</v>
      </c>
      <c r="B427" s="20" t="s">
        <v>344</v>
      </c>
      <c r="C427" s="20" t="s">
        <v>598</v>
      </c>
      <c r="D427" s="20" t="s">
        <v>599</v>
      </c>
      <c r="E427" s="20" t="s">
        <v>595</v>
      </c>
      <c r="F427" s="20" t="s">
        <v>1054</v>
      </c>
      <c r="G427" s="20" t="s">
        <v>71</v>
      </c>
      <c r="H427" s="20" t="s">
        <v>71</v>
      </c>
      <c r="I427" s="20" t="s">
        <v>72</v>
      </c>
      <c r="J427" s="20" t="s">
        <v>25</v>
      </c>
      <c r="K427" s="20" t="s">
        <v>597</v>
      </c>
    </row>
    <row r="428" spans="1:11" ht="30" customHeight="1" x14ac:dyDescent="0.25">
      <c r="A428" s="20" t="s">
        <v>343</v>
      </c>
      <c r="B428" s="20" t="s">
        <v>344</v>
      </c>
      <c r="C428" s="20" t="s">
        <v>654</v>
      </c>
      <c r="D428" s="20" t="s">
        <v>655</v>
      </c>
      <c r="E428" s="20" t="s">
        <v>595</v>
      </c>
      <c r="F428" s="20" t="s">
        <v>1055</v>
      </c>
      <c r="G428" s="20" t="s">
        <v>71</v>
      </c>
      <c r="H428" s="20" t="s">
        <v>78</v>
      </c>
      <c r="I428" s="20" t="s">
        <v>72</v>
      </c>
      <c r="J428" s="20" t="s">
        <v>25</v>
      </c>
      <c r="K428" s="20" t="s">
        <v>597</v>
      </c>
    </row>
    <row r="429" spans="1:11" ht="30" customHeight="1" x14ac:dyDescent="0.25">
      <c r="A429" s="20" t="s">
        <v>343</v>
      </c>
      <c r="B429" s="20" t="s">
        <v>344</v>
      </c>
      <c r="C429" s="20" t="s">
        <v>605</v>
      </c>
      <c r="D429" s="20" t="s">
        <v>606</v>
      </c>
      <c r="E429" s="20" t="s">
        <v>607</v>
      </c>
      <c r="F429" s="20" t="s">
        <v>1056</v>
      </c>
      <c r="G429" s="20" t="s">
        <v>71</v>
      </c>
      <c r="H429" s="20" t="s">
        <v>78</v>
      </c>
      <c r="I429" s="20" t="s">
        <v>72</v>
      </c>
      <c r="J429" s="20" t="s">
        <v>25</v>
      </c>
      <c r="K429" s="20" t="s">
        <v>597</v>
      </c>
    </row>
    <row r="430" spans="1:11" ht="30" customHeight="1" x14ac:dyDescent="0.25">
      <c r="A430" s="20" t="s">
        <v>343</v>
      </c>
      <c r="B430" s="20" t="s">
        <v>344</v>
      </c>
      <c r="C430" s="20" t="s">
        <v>609</v>
      </c>
      <c r="D430" s="20" t="s">
        <v>610</v>
      </c>
      <c r="E430" s="20" t="s">
        <v>595</v>
      </c>
      <c r="F430" s="20" t="s">
        <v>1057</v>
      </c>
      <c r="G430" s="20" t="s">
        <v>71</v>
      </c>
      <c r="H430" s="20" t="s">
        <v>71</v>
      </c>
      <c r="I430" s="20" t="s">
        <v>72</v>
      </c>
      <c r="J430" s="20" t="s">
        <v>25</v>
      </c>
      <c r="K430" s="20" t="s">
        <v>597</v>
      </c>
    </row>
    <row r="431" spans="1:11" ht="30" customHeight="1" x14ac:dyDescent="0.25">
      <c r="A431" s="20" t="s">
        <v>347</v>
      </c>
      <c r="B431" s="20" t="s">
        <v>348</v>
      </c>
      <c r="C431" s="20" t="s">
        <v>594</v>
      </c>
      <c r="D431" s="20" t="s">
        <v>595</v>
      </c>
      <c r="E431" s="20" t="s">
        <v>595</v>
      </c>
      <c r="F431" s="20" t="s">
        <v>1058</v>
      </c>
      <c r="G431" s="20" t="s">
        <v>78</v>
      </c>
      <c r="H431" s="20" t="s">
        <v>71</v>
      </c>
      <c r="I431" s="20" t="s">
        <v>72</v>
      </c>
      <c r="J431" s="20" t="s">
        <v>25</v>
      </c>
      <c r="K431" s="20" t="s">
        <v>597</v>
      </c>
    </row>
    <row r="432" spans="1:11" ht="30" customHeight="1" x14ac:dyDescent="0.25">
      <c r="A432" s="20" t="s">
        <v>347</v>
      </c>
      <c r="B432" s="20" t="s">
        <v>348</v>
      </c>
      <c r="C432" s="20" t="s">
        <v>598</v>
      </c>
      <c r="D432" s="20" t="s">
        <v>599</v>
      </c>
      <c r="E432" s="20" t="s">
        <v>595</v>
      </c>
      <c r="F432" s="20" t="s">
        <v>1059</v>
      </c>
      <c r="G432" s="20" t="s">
        <v>78</v>
      </c>
      <c r="H432" s="20" t="s">
        <v>71</v>
      </c>
      <c r="I432" s="20" t="s">
        <v>72</v>
      </c>
      <c r="J432" s="20" t="s">
        <v>25</v>
      </c>
      <c r="K432" s="20" t="s">
        <v>597</v>
      </c>
    </row>
    <row r="433" spans="1:11" ht="30" customHeight="1" x14ac:dyDescent="0.25">
      <c r="A433" s="20" t="s">
        <v>347</v>
      </c>
      <c r="B433" s="20" t="s">
        <v>348</v>
      </c>
      <c r="C433" s="20" t="s">
        <v>654</v>
      </c>
      <c r="D433" s="20" t="s">
        <v>655</v>
      </c>
      <c r="E433" s="20" t="s">
        <v>595</v>
      </c>
      <c r="F433" s="20" t="s">
        <v>1060</v>
      </c>
      <c r="G433" s="20" t="s">
        <v>78</v>
      </c>
      <c r="H433" s="20" t="s">
        <v>78</v>
      </c>
      <c r="I433" s="20" t="s">
        <v>72</v>
      </c>
      <c r="J433" s="20" t="s">
        <v>25</v>
      </c>
      <c r="K433" s="20" t="s">
        <v>597</v>
      </c>
    </row>
    <row r="434" spans="1:11" ht="30" customHeight="1" x14ac:dyDescent="0.25">
      <c r="A434" s="20" t="s">
        <v>347</v>
      </c>
      <c r="B434" s="20" t="s">
        <v>348</v>
      </c>
      <c r="C434" s="20" t="s">
        <v>605</v>
      </c>
      <c r="D434" s="20" t="s">
        <v>606</v>
      </c>
      <c r="E434" s="20" t="s">
        <v>607</v>
      </c>
      <c r="F434" s="20" t="s">
        <v>1061</v>
      </c>
      <c r="G434" s="20" t="s">
        <v>78</v>
      </c>
      <c r="H434" s="20" t="s">
        <v>78</v>
      </c>
      <c r="I434" s="20" t="s">
        <v>72</v>
      </c>
      <c r="J434" s="20" t="s">
        <v>25</v>
      </c>
      <c r="K434" s="20" t="s">
        <v>597</v>
      </c>
    </row>
    <row r="435" spans="1:11" ht="30" customHeight="1" x14ac:dyDescent="0.25">
      <c r="A435" s="20" t="s">
        <v>347</v>
      </c>
      <c r="B435" s="20" t="s">
        <v>348</v>
      </c>
      <c r="C435" s="20" t="s">
        <v>609</v>
      </c>
      <c r="D435" s="20" t="s">
        <v>610</v>
      </c>
      <c r="E435" s="20" t="s">
        <v>595</v>
      </c>
      <c r="F435" s="20" t="s">
        <v>1062</v>
      </c>
      <c r="G435" s="20" t="s">
        <v>78</v>
      </c>
      <c r="H435" s="20" t="s">
        <v>71</v>
      </c>
      <c r="I435" s="20" t="s">
        <v>72</v>
      </c>
      <c r="J435" s="20" t="s">
        <v>25</v>
      </c>
      <c r="K435" s="20" t="s">
        <v>597</v>
      </c>
    </row>
    <row r="436" spans="1:11" ht="30" customHeight="1" x14ac:dyDescent="0.25">
      <c r="A436" s="20" t="s">
        <v>352</v>
      </c>
      <c r="B436" s="20" t="s">
        <v>353</v>
      </c>
      <c r="C436" s="20" t="s">
        <v>594</v>
      </c>
      <c r="D436" s="20" t="s">
        <v>595</v>
      </c>
      <c r="E436" s="20" t="s">
        <v>595</v>
      </c>
      <c r="F436" s="20" t="s">
        <v>1063</v>
      </c>
      <c r="G436" s="20" t="s">
        <v>71</v>
      </c>
      <c r="H436" s="20" t="s">
        <v>71</v>
      </c>
      <c r="I436" s="20" t="s">
        <v>72</v>
      </c>
      <c r="J436" s="20" t="s">
        <v>25</v>
      </c>
      <c r="K436" s="20" t="s">
        <v>597</v>
      </c>
    </row>
    <row r="437" spans="1:11" ht="30" customHeight="1" x14ac:dyDescent="0.25">
      <c r="A437" s="20" t="s">
        <v>352</v>
      </c>
      <c r="B437" s="20" t="s">
        <v>353</v>
      </c>
      <c r="C437" s="20" t="s">
        <v>598</v>
      </c>
      <c r="D437" s="20" t="s">
        <v>599</v>
      </c>
      <c r="E437" s="20" t="s">
        <v>595</v>
      </c>
      <c r="F437" s="20" t="s">
        <v>1064</v>
      </c>
      <c r="G437" s="20" t="s">
        <v>71</v>
      </c>
      <c r="H437" s="20" t="s">
        <v>71</v>
      </c>
      <c r="I437" s="20" t="s">
        <v>72</v>
      </c>
      <c r="J437" s="20" t="s">
        <v>25</v>
      </c>
      <c r="K437" s="20" t="s">
        <v>597</v>
      </c>
    </row>
    <row r="438" spans="1:11" ht="30" customHeight="1" x14ac:dyDescent="0.25">
      <c r="A438" s="20" t="s">
        <v>352</v>
      </c>
      <c r="B438" s="20" t="s">
        <v>353</v>
      </c>
      <c r="C438" s="20" t="s">
        <v>654</v>
      </c>
      <c r="D438" s="20" t="s">
        <v>655</v>
      </c>
      <c r="E438" s="20" t="s">
        <v>595</v>
      </c>
      <c r="F438" s="20" t="s">
        <v>1065</v>
      </c>
      <c r="G438" s="20" t="s">
        <v>71</v>
      </c>
      <c r="H438" s="20" t="s">
        <v>78</v>
      </c>
      <c r="I438" s="20" t="s">
        <v>72</v>
      </c>
      <c r="J438" s="20" t="s">
        <v>25</v>
      </c>
      <c r="K438" s="20" t="s">
        <v>597</v>
      </c>
    </row>
    <row r="439" spans="1:11" ht="30" customHeight="1" x14ac:dyDescent="0.25">
      <c r="A439" s="20" t="s">
        <v>352</v>
      </c>
      <c r="B439" s="20" t="s">
        <v>353</v>
      </c>
      <c r="C439" s="20" t="s">
        <v>605</v>
      </c>
      <c r="D439" s="20" t="s">
        <v>606</v>
      </c>
      <c r="E439" s="20" t="s">
        <v>607</v>
      </c>
      <c r="F439" s="20" t="s">
        <v>1066</v>
      </c>
      <c r="G439" s="20" t="s">
        <v>71</v>
      </c>
      <c r="H439" s="20" t="s">
        <v>78</v>
      </c>
      <c r="I439" s="20" t="s">
        <v>72</v>
      </c>
      <c r="J439" s="20" t="s">
        <v>25</v>
      </c>
      <c r="K439" s="20" t="s">
        <v>597</v>
      </c>
    </row>
    <row r="440" spans="1:11" ht="30" customHeight="1" x14ac:dyDescent="0.25">
      <c r="A440" s="20" t="s">
        <v>352</v>
      </c>
      <c r="B440" s="20" t="s">
        <v>353</v>
      </c>
      <c r="C440" s="20" t="s">
        <v>609</v>
      </c>
      <c r="D440" s="20" t="s">
        <v>610</v>
      </c>
      <c r="E440" s="20" t="s">
        <v>595</v>
      </c>
      <c r="F440" s="20" t="s">
        <v>1067</v>
      </c>
      <c r="G440" s="20" t="s">
        <v>71</v>
      </c>
      <c r="H440" s="20" t="s">
        <v>71</v>
      </c>
      <c r="I440" s="20" t="s">
        <v>72</v>
      </c>
      <c r="J440" s="20" t="s">
        <v>25</v>
      </c>
      <c r="K440" s="20" t="s">
        <v>597</v>
      </c>
    </row>
    <row r="441" spans="1:11" ht="30" customHeight="1" x14ac:dyDescent="0.25">
      <c r="A441" s="20" t="s">
        <v>355</v>
      </c>
      <c r="B441" s="20" t="s">
        <v>356</v>
      </c>
      <c r="C441" s="20" t="s">
        <v>594</v>
      </c>
      <c r="D441" s="20" t="s">
        <v>595</v>
      </c>
      <c r="E441" s="20" t="s">
        <v>595</v>
      </c>
      <c r="F441" s="20" t="s">
        <v>1068</v>
      </c>
      <c r="G441" s="20" t="s">
        <v>94</v>
      </c>
      <c r="H441" s="20" t="s">
        <v>71</v>
      </c>
      <c r="I441" s="20" t="s">
        <v>72</v>
      </c>
      <c r="J441" s="20" t="s">
        <v>25</v>
      </c>
      <c r="K441" s="20" t="s">
        <v>597</v>
      </c>
    </row>
    <row r="442" spans="1:11" ht="30" customHeight="1" x14ac:dyDescent="0.25">
      <c r="A442" s="20" t="s">
        <v>355</v>
      </c>
      <c r="B442" s="20" t="s">
        <v>356</v>
      </c>
      <c r="C442" s="20" t="s">
        <v>598</v>
      </c>
      <c r="D442" s="20" t="s">
        <v>599</v>
      </c>
      <c r="E442" s="20" t="s">
        <v>595</v>
      </c>
      <c r="F442" s="20" t="s">
        <v>1069</v>
      </c>
      <c r="G442" s="20" t="s">
        <v>94</v>
      </c>
      <c r="H442" s="20" t="s">
        <v>71</v>
      </c>
      <c r="I442" s="20" t="s">
        <v>72</v>
      </c>
      <c r="J442" s="20" t="s">
        <v>25</v>
      </c>
      <c r="K442" s="20" t="s">
        <v>597</v>
      </c>
    </row>
    <row r="443" spans="1:11" ht="30" customHeight="1" x14ac:dyDescent="0.25">
      <c r="A443" s="20" t="s">
        <v>355</v>
      </c>
      <c r="B443" s="20" t="s">
        <v>356</v>
      </c>
      <c r="C443" s="20" t="s">
        <v>654</v>
      </c>
      <c r="D443" s="20" t="s">
        <v>655</v>
      </c>
      <c r="E443" s="20" t="s">
        <v>595</v>
      </c>
      <c r="F443" s="20" t="s">
        <v>1070</v>
      </c>
      <c r="G443" s="20" t="s">
        <v>94</v>
      </c>
      <c r="H443" s="20" t="s">
        <v>78</v>
      </c>
      <c r="I443" s="20" t="s">
        <v>72</v>
      </c>
      <c r="J443" s="20" t="s">
        <v>25</v>
      </c>
      <c r="K443" s="20" t="s">
        <v>597</v>
      </c>
    </row>
    <row r="444" spans="1:11" ht="30" customHeight="1" x14ac:dyDescent="0.25">
      <c r="A444" s="20" t="s">
        <v>355</v>
      </c>
      <c r="B444" s="20" t="s">
        <v>356</v>
      </c>
      <c r="C444" s="20" t="s">
        <v>605</v>
      </c>
      <c r="D444" s="20" t="s">
        <v>606</v>
      </c>
      <c r="E444" s="20" t="s">
        <v>607</v>
      </c>
      <c r="F444" s="20" t="s">
        <v>1071</v>
      </c>
      <c r="G444" s="20" t="s">
        <v>94</v>
      </c>
      <c r="H444" s="20" t="s">
        <v>78</v>
      </c>
      <c r="I444" s="20" t="s">
        <v>72</v>
      </c>
      <c r="J444" s="20" t="s">
        <v>25</v>
      </c>
      <c r="K444" s="20" t="s">
        <v>597</v>
      </c>
    </row>
    <row r="445" spans="1:11" ht="30" customHeight="1" x14ac:dyDescent="0.25">
      <c r="A445" s="20" t="s">
        <v>355</v>
      </c>
      <c r="B445" s="20" t="s">
        <v>356</v>
      </c>
      <c r="C445" s="20" t="s">
        <v>609</v>
      </c>
      <c r="D445" s="20" t="s">
        <v>610</v>
      </c>
      <c r="E445" s="20" t="s">
        <v>595</v>
      </c>
      <c r="F445" s="20" t="s">
        <v>1072</v>
      </c>
      <c r="G445" s="20" t="s">
        <v>94</v>
      </c>
      <c r="H445" s="20" t="s">
        <v>71</v>
      </c>
      <c r="I445" s="20" t="s">
        <v>72</v>
      </c>
      <c r="J445" s="20" t="s">
        <v>25</v>
      </c>
      <c r="K445" s="20" t="s">
        <v>597</v>
      </c>
    </row>
    <row r="446" spans="1:11" ht="30" customHeight="1" x14ac:dyDescent="0.25">
      <c r="A446" s="20" t="s">
        <v>358</v>
      </c>
      <c r="B446" s="20" t="s">
        <v>359</v>
      </c>
      <c r="C446" s="20" t="s">
        <v>594</v>
      </c>
      <c r="D446" s="20" t="s">
        <v>595</v>
      </c>
      <c r="E446" s="20" t="s">
        <v>595</v>
      </c>
      <c r="F446" s="20" t="s">
        <v>1073</v>
      </c>
      <c r="G446" s="20" t="s">
        <v>71</v>
      </c>
      <c r="H446" s="20" t="s">
        <v>71</v>
      </c>
      <c r="I446" s="20" t="s">
        <v>72</v>
      </c>
      <c r="J446" s="20" t="s">
        <v>25</v>
      </c>
      <c r="K446" s="20" t="s">
        <v>597</v>
      </c>
    </row>
    <row r="447" spans="1:11" ht="30" customHeight="1" x14ac:dyDescent="0.25">
      <c r="A447" s="20" t="s">
        <v>358</v>
      </c>
      <c r="B447" s="20" t="s">
        <v>359</v>
      </c>
      <c r="C447" s="20" t="s">
        <v>598</v>
      </c>
      <c r="D447" s="20" t="s">
        <v>599</v>
      </c>
      <c r="E447" s="20" t="s">
        <v>595</v>
      </c>
      <c r="F447" s="20" t="s">
        <v>1074</v>
      </c>
      <c r="G447" s="20" t="s">
        <v>71</v>
      </c>
      <c r="H447" s="20" t="s">
        <v>71</v>
      </c>
      <c r="I447" s="20" t="s">
        <v>72</v>
      </c>
      <c r="J447" s="20" t="s">
        <v>25</v>
      </c>
      <c r="K447" s="20" t="s">
        <v>597</v>
      </c>
    </row>
    <row r="448" spans="1:11" ht="30" customHeight="1" x14ac:dyDescent="0.25">
      <c r="A448" s="20" t="s">
        <v>358</v>
      </c>
      <c r="B448" s="20" t="s">
        <v>359</v>
      </c>
      <c r="C448" s="20" t="s">
        <v>654</v>
      </c>
      <c r="D448" s="20" t="s">
        <v>655</v>
      </c>
      <c r="E448" s="20" t="s">
        <v>595</v>
      </c>
      <c r="F448" s="20" t="s">
        <v>1075</v>
      </c>
      <c r="G448" s="20" t="s">
        <v>71</v>
      </c>
      <c r="H448" s="20" t="s">
        <v>78</v>
      </c>
      <c r="I448" s="20" t="s">
        <v>72</v>
      </c>
      <c r="J448" s="20" t="s">
        <v>25</v>
      </c>
      <c r="K448" s="20" t="s">
        <v>597</v>
      </c>
    </row>
    <row r="449" spans="1:11" ht="30" customHeight="1" x14ac:dyDescent="0.25">
      <c r="A449" s="20" t="s">
        <v>358</v>
      </c>
      <c r="B449" s="20" t="s">
        <v>359</v>
      </c>
      <c r="C449" s="20" t="s">
        <v>605</v>
      </c>
      <c r="D449" s="20" t="s">
        <v>606</v>
      </c>
      <c r="E449" s="20" t="s">
        <v>607</v>
      </c>
      <c r="F449" s="20" t="s">
        <v>1076</v>
      </c>
      <c r="G449" s="20" t="s">
        <v>71</v>
      </c>
      <c r="H449" s="20" t="s">
        <v>78</v>
      </c>
      <c r="I449" s="20" t="s">
        <v>72</v>
      </c>
      <c r="J449" s="20" t="s">
        <v>25</v>
      </c>
      <c r="K449" s="20" t="s">
        <v>597</v>
      </c>
    </row>
    <row r="450" spans="1:11" ht="30" customHeight="1" x14ac:dyDescent="0.25">
      <c r="A450" s="20" t="s">
        <v>358</v>
      </c>
      <c r="B450" s="20" t="s">
        <v>359</v>
      </c>
      <c r="C450" s="20" t="s">
        <v>609</v>
      </c>
      <c r="D450" s="20" t="s">
        <v>610</v>
      </c>
      <c r="E450" s="20" t="s">
        <v>595</v>
      </c>
      <c r="F450" s="20" t="s">
        <v>1077</v>
      </c>
      <c r="G450" s="20" t="s">
        <v>71</v>
      </c>
      <c r="H450" s="20" t="s">
        <v>71</v>
      </c>
      <c r="I450" s="20" t="s">
        <v>72</v>
      </c>
      <c r="J450" s="20" t="s">
        <v>25</v>
      </c>
      <c r="K450" s="20" t="s">
        <v>597</v>
      </c>
    </row>
    <row r="451" spans="1:11" ht="30" customHeight="1" x14ac:dyDescent="0.25">
      <c r="A451" s="20" t="s">
        <v>362</v>
      </c>
      <c r="B451" s="20" t="s">
        <v>363</v>
      </c>
      <c r="C451" s="20" t="s">
        <v>594</v>
      </c>
      <c r="D451" s="20" t="s">
        <v>595</v>
      </c>
      <c r="E451" s="20" t="s">
        <v>595</v>
      </c>
      <c r="F451" s="20" t="s">
        <v>1078</v>
      </c>
      <c r="G451" s="20" t="s">
        <v>78</v>
      </c>
      <c r="H451" s="20" t="s">
        <v>71</v>
      </c>
      <c r="I451" s="20" t="s">
        <v>72</v>
      </c>
      <c r="J451" s="20" t="s">
        <v>25</v>
      </c>
      <c r="K451" s="20" t="s">
        <v>597</v>
      </c>
    </row>
    <row r="452" spans="1:11" ht="30" customHeight="1" x14ac:dyDescent="0.25">
      <c r="A452" s="20" t="s">
        <v>362</v>
      </c>
      <c r="B452" s="20" t="s">
        <v>363</v>
      </c>
      <c r="C452" s="20" t="s">
        <v>598</v>
      </c>
      <c r="D452" s="20" t="s">
        <v>599</v>
      </c>
      <c r="E452" s="20" t="s">
        <v>595</v>
      </c>
      <c r="F452" s="20" t="s">
        <v>1079</v>
      </c>
      <c r="G452" s="20" t="s">
        <v>78</v>
      </c>
      <c r="H452" s="20" t="s">
        <v>71</v>
      </c>
      <c r="I452" s="20" t="s">
        <v>72</v>
      </c>
      <c r="J452" s="20" t="s">
        <v>25</v>
      </c>
      <c r="K452" s="20" t="s">
        <v>597</v>
      </c>
    </row>
    <row r="453" spans="1:11" ht="30" customHeight="1" x14ac:dyDescent="0.25">
      <c r="A453" s="20" t="s">
        <v>362</v>
      </c>
      <c r="B453" s="20" t="s">
        <v>363</v>
      </c>
      <c r="C453" s="20" t="s">
        <v>654</v>
      </c>
      <c r="D453" s="20" t="s">
        <v>655</v>
      </c>
      <c r="E453" s="20" t="s">
        <v>595</v>
      </c>
      <c r="F453" s="20" t="s">
        <v>1080</v>
      </c>
      <c r="G453" s="20" t="s">
        <v>78</v>
      </c>
      <c r="H453" s="20" t="s">
        <v>78</v>
      </c>
      <c r="I453" s="20" t="s">
        <v>72</v>
      </c>
      <c r="J453" s="20" t="s">
        <v>25</v>
      </c>
      <c r="K453" s="20" t="s">
        <v>597</v>
      </c>
    </row>
    <row r="454" spans="1:11" ht="30" customHeight="1" x14ac:dyDescent="0.25">
      <c r="A454" s="20" t="s">
        <v>362</v>
      </c>
      <c r="B454" s="20" t="s">
        <v>363</v>
      </c>
      <c r="C454" s="20" t="s">
        <v>605</v>
      </c>
      <c r="D454" s="20" t="s">
        <v>606</v>
      </c>
      <c r="E454" s="20" t="s">
        <v>607</v>
      </c>
      <c r="F454" s="20" t="s">
        <v>1081</v>
      </c>
      <c r="G454" s="20" t="s">
        <v>78</v>
      </c>
      <c r="H454" s="20" t="s">
        <v>78</v>
      </c>
      <c r="I454" s="20" t="s">
        <v>72</v>
      </c>
      <c r="J454" s="20" t="s">
        <v>25</v>
      </c>
      <c r="K454" s="20" t="s">
        <v>597</v>
      </c>
    </row>
    <row r="455" spans="1:11" ht="30" customHeight="1" x14ac:dyDescent="0.25">
      <c r="A455" s="20" t="s">
        <v>362</v>
      </c>
      <c r="B455" s="20" t="s">
        <v>363</v>
      </c>
      <c r="C455" s="20" t="s">
        <v>609</v>
      </c>
      <c r="D455" s="20" t="s">
        <v>610</v>
      </c>
      <c r="E455" s="20" t="s">
        <v>595</v>
      </c>
      <c r="F455" s="20" t="s">
        <v>1082</v>
      </c>
      <c r="G455" s="20" t="s">
        <v>78</v>
      </c>
      <c r="H455" s="20" t="s">
        <v>71</v>
      </c>
      <c r="I455" s="20" t="s">
        <v>72</v>
      </c>
      <c r="J455" s="20" t="s">
        <v>25</v>
      </c>
      <c r="K455" s="20" t="s">
        <v>597</v>
      </c>
    </row>
    <row r="456" spans="1:11" ht="30" customHeight="1" x14ac:dyDescent="0.25">
      <c r="A456" s="20" t="s">
        <v>366</v>
      </c>
      <c r="B456" s="20" t="s">
        <v>367</v>
      </c>
      <c r="C456" s="20" t="s">
        <v>594</v>
      </c>
      <c r="D456" s="20" t="s">
        <v>595</v>
      </c>
      <c r="E456" s="20" t="s">
        <v>595</v>
      </c>
      <c r="F456" s="20" t="s">
        <v>1083</v>
      </c>
      <c r="G456" s="20" t="s">
        <v>71</v>
      </c>
      <c r="H456" s="20" t="s">
        <v>71</v>
      </c>
      <c r="I456" s="20" t="s">
        <v>72</v>
      </c>
      <c r="J456" s="20" t="s">
        <v>25</v>
      </c>
      <c r="K456" s="20" t="s">
        <v>597</v>
      </c>
    </row>
    <row r="457" spans="1:11" ht="30" customHeight="1" x14ac:dyDescent="0.25">
      <c r="A457" s="20" t="s">
        <v>366</v>
      </c>
      <c r="B457" s="20" t="s">
        <v>367</v>
      </c>
      <c r="C457" s="20" t="s">
        <v>598</v>
      </c>
      <c r="D457" s="20" t="s">
        <v>599</v>
      </c>
      <c r="E457" s="20" t="s">
        <v>595</v>
      </c>
      <c r="F457" s="20" t="s">
        <v>1084</v>
      </c>
      <c r="G457" s="20" t="s">
        <v>71</v>
      </c>
      <c r="H457" s="20" t="s">
        <v>71</v>
      </c>
      <c r="I457" s="20" t="s">
        <v>72</v>
      </c>
      <c r="J457" s="20" t="s">
        <v>25</v>
      </c>
      <c r="K457" s="20" t="s">
        <v>597</v>
      </c>
    </row>
    <row r="458" spans="1:11" ht="30" customHeight="1" x14ac:dyDescent="0.25">
      <c r="A458" s="20" t="s">
        <v>366</v>
      </c>
      <c r="B458" s="20" t="s">
        <v>367</v>
      </c>
      <c r="C458" s="20" t="s">
        <v>654</v>
      </c>
      <c r="D458" s="20" t="s">
        <v>655</v>
      </c>
      <c r="E458" s="20" t="s">
        <v>595</v>
      </c>
      <c r="F458" s="20" t="s">
        <v>1085</v>
      </c>
      <c r="G458" s="20" t="s">
        <v>71</v>
      </c>
      <c r="H458" s="20" t="s">
        <v>78</v>
      </c>
      <c r="I458" s="20" t="s">
        <v>72</v>
      </c>
      <c r="J458" s="20" t="s">
        <v>25</v>
      </c>
      <c r="K458" s="20" t="s">
        <v>597</v>
      </c>
    </row>
    <row r="459" spans="1:11" ht="30" customHeight="1" x14ac:dyDescent="0.25">
      <c r="A459" s="20" t="s">
        <v>366</v>
      </c>
      <c r="B459" s="20" t="s">
        <v>367</v>
      </c>
      <c r="C459" s="20" t="s">
        <v>605</v>
      </c>
      <c r="D459" s="20" t="s">
        <v>606</v>
      </c>
      <c r="E459" s="20" t="s">
        <v>607</v>
      </c>
      <c r="F459" s="20" t="s">
        <v>1086</v>
      </c>
      <c r="G459" s="20" t="s">
        <v>71</v>
      </c>
      <c r="H459" s="20" t="s">
        <v>78</v>
      </c>
      <c r="I459" s="20" t="s">
        <v>72</v>
      </c>
      <c r="J459" s="20" t="s">
        <v>25</v>
      </c>
      <c r="K459" s="20" t="s">
        <v>597</v>
      </c>
    </row>
    <row r="460" spans="1:11" ht="30" customHeight="1" x14ac:dyDescent="0.25">
      <c r="A460" s="20" t="s">
        <v>366</v>
      </c>
      <c r="B460" s="20" t="s">
        <v>367</v>
      </c>
      <c r="C460" s="20" t="s">
        <v>609</v>
      </c>
      <c r="D460" s="20" t="s">
        <v>610</v>
      </c>
      <c r="E460" s="20" t="s">
        <v>595</v>
      </c>
      <c r="F460" s="20" t="s">
        <v>1087</v>
      </c>
      <c r="G460" s="20" t="s">
        <v>71</v>
      </c>
      <c r="H460" s="20" t="s">
        <v>71</v>
      </c>
      <c r="I460" s="20" t="s">
        <v>72</v>
      </c>
      <c r="J460" s="20" t="s">
        <v>25</v>
      </c>
      <c r="K460" s="20" t="s">
        <v>597</v>
      </c>
    </row>
    <row r="461" spans="1:11" ht="30" customHeight="1" x14ac:dyDescent="0.25">
      <c r="A461" s="20" t="s">
        <v>369</v>
      </c>
      <c r="B461" s="20" t="s">
        <v>370</v>
      </c>
      <c r="C461" s="20" t="s">
        <v>594</v>
      </c>
      <c r="D461" s="20" t="s">
        <v>595</v>
      </c>
      <c r="E461" s="20" t="s">
        <v>595</v>
      </c>
      <c r="F461" s="20" t="s">
        <v>1088</v>
      </c>
      <c r="G461" s="20" t="s">
        <v>94</v>
      </c>
      <c r="H461" s="20" t="s">
        <v>71</v>
      </c>
      <c r="I461" s="20" t="s">
        <v>72</v>
      </c>
      <c r="J461" s="20" t="s">
        <v>25</v>
      </c>
      <c r="K461" s="20" t="s">
        <v>597</v>
      </c>
    </row>
    <row r="462" spans="1:11" ht="30" customHeight="1" x14ac:dyDescent="0.25">
      <c r="A462" s="20" t="s">
        <v>369</v>
      </c>
      <c r="B462" s="20" t="s">
        <v>370</v>
      </c>
      <c r="C462" s="20" t="s">
        <v>598</v>
      </c>
      <c r="D462" s="20" t="s">
        <v>599</v>
      </c>
      <c r="E462" s="20" t="s">
        <v>595</v>
      </c>
      <c r="F462" s="20" t="s">
        <v>1089</v>
      </c>
      <c r="G462" s="20" t="s">
        <v>94</v>
      </c>
      <c r="H462" s="20" t="s">
        <v>71</v>
      </c>
      <c r="I462" s="20" t="s">
        <v>72</v>
      </c>
      <c r="J462" s="20" t="s">
        <v>25</v>
      </c>
      <c r="K462" s="20" t="s">
        <v>597</v>
      </c>
    </row>
    <row r="463" spans="1:11" ht="30" customHeight="1" x14ac:dyDescent="0.25">
      <c r="A463" s="20" t="s">
        <v>369</v>
      </c>
      <c r="B463" s="20" t="s">
        <v>370</v>
      </c>
      <c r="C463" s="20" t="s">
        <v>654</v>
      </c>
      <c r="D463" s="20" t="s">
        <v>655</v>
      </c>
      <c r="E463" s="20" t="s">
        <v>595</v>
      </c>
      <c r="F463" s="20" t="s">
        <v>1090</v>
      </c>
      <c r="G463" s="20" t="s">
        <v>94</v>
      </c>
      <c r="H463" s="20" t="s">
        <v>78</v>
      </c>
      <c r="I463" s="20" t="s">
        <v>72</v>
      </c>
      <c r="J463" s="20" t="s">
        <v>25</v>
      </c>
      <c r="K463" s="20" t="s">
        <v>597</v>
      </c>
    </row>
    <row r="464" spans="1:11" ht="30" customHeight="1" x14ac:dyDescent="0.25">
      <c r="A464" s="20" t="s">
        <v>369</v>
      </c>
      <c r="B464" s="20" t="s">
        <v>370</v>
      </c>
      <c r="C464" s="20" t="s">
        <v>605</v>
      </c>
      <c r="D464" s="20" t="s">
        <v>606</v>
      </c>
      <c r="E464" s="20" t="s">
        <v>607</v>
      </c>
      <c r="F464" s="20" t="s">
        <v>1091</v>
      </c>
      <c r="G464" s="20" t="s">
        <v>94</v>
      </c>
      <c r="H464" s="20" t="s">
        <v>78</v>
      </c>
      <c r="I464" s="20" t="s">
        <v>72</v>
      </c>
      <c r="J464" s="20" t="s">
        <v>25</v>
      </c>
      <c r="K464" s="20" t="s">
        <v>597</v>
      </c>
    </row>
    <row r="465" spans="1:11" ht="30" customHeight="1" x14ac:dyDescent="0.25">
      <c r="A465" s="20" t="s">
        <v>369</v>
      </c>
      <c r="B465" s="20" t="s">
        <v>370</v>
      </c>
      <c r="C465" s="20" t="s">
        <v>609</v>
      </c>
      <c r="D465" s="20" t="s">
        <v>610</v>
      </c>
      <c r="E465" s="20" t="s">
        <v>595</v>
      </c>
      <c r="F465" s="20" t="s">
        <v>1092</v>
      </c>
      <c r="G465" s="20" t="s">
        <v>94</v>
      </c>
      <c r="H465" s="20" t="s">
        <v>71</v>
      </c>
      <c r="I465" s="20" t="s">
        <v>72</v>
      </c>
      <c r="J465" s="20" t="s">
        <v>25</v>
      </c>
      <c r="K465" s="20" t="s">
        <v>597</v>
      </c>
    </row>
    <row r="466" spans="1:11" ht="30" customHeight="1" x14ac:dyDescent="0.25">
      <c r="A466" s="20" t="s">
        <v>373</v>
      </c>
      <c r="B466" s="20" t="s">
        <v>374</v>
      </c>
      <c r="C466" s="20" t="s">
        <v>679</v>
      </c>
      <c r="D466" s="20" t="s">
        <v>680</v>
      </c>
      <c r="E466" s="20" t="s">
        <v>681</v>
      </c>
      <c r="F466" s="20" t="s">
        <v>1093</v>
      </c>
      <c r="G466" s="20" t="s">
        <v>78</v>
      </c>
      <c r="H466" s="20" t="s">
        <v>71</v>
      </c>
      <c r="I466" s="20" t="s">
        <v>72</v>
      </c>
      <c r="J466" s="20" t="s">
        <v>25</v>
      </c>
      <c r="K466" s="20" t="s">
        <v>597</v>
      </c>
    </row>
    <row r="467" spans="1:11" ht="30" customHeight="1" x14ac:dyDescent="0.25">
      <c r="A467" s="20" t="s">
        <v>373</v>
      </c>
      <c r="B467" s="20" t="s">
        <v>374</v>
      </c>
      <c r="C467" s="20" t="s">
        <v>1094</v>
      </c>
      <c r="D467" s="20" t="s">
        <v>1095</v>
      </c>
      <c r="E467" s="20" t="s">
        <v>1096</v>
      </c>
      <c r="F467" s="20" t="s">
        <v>1097</v>
      </c>
      <c r="G467" s="20" t="s">
        <v>78</v>
      </c>
      <c r="H467" s="20" t="s">
        <v>78</v>
      </c>
      <c r="I467" s="20" t="s">
        <v>72</v>
      </c>
      <c r="J467" s="20" t="s">
        <v>25</v>
      </c>
      <c r="K467" s="20" t="s">
        <v>597</v>
      </c>
    </row>
    <row r="468" spans="1:11" ht="30" customHeight="1" x14ac:dyDescent="0.25">
      <c r="A468" s="20" t="s">
        <v>373</v>
      </c>
      <c r="B468" s="20" t="s">
        <v>374</v>
      </c>
      <c r="C468" s="20" t="s">
        <v>598</v>
      </c>
      <c r="D468" s="20" t="s">
        <v>599</v>
      </c>
      <c r="E468" s="20" t="s">
        <v>595</v>
      </c>
      <c r="F468" s="20" t="s">
        <v>1098</v>
      </c>
      <c r="G468" s="20" t="s">
        <v>78</v>
      </c>
      <c r="H468" s="20" t="s">
        <v>71</v>
      </c>
      <c r="I468" s="20" t="s">
        <v>72</v>
      </c>
      <c r="J468" s="20" t="s">
        <v>25</v>
      </c>
      <c r="K468" s="20" t="s">
        <v>597</v>
      </c>
    </row>
    <row r="469" spans="1:11" ht="30" customHeight="1" x14ac:dyDescent="0.25">
      <c r="A469" s="20" t="s">
        <v>373</v>
      </c>
      <c r="B469" s="20" t="s">
        <v>374</v>
      </c>
      <c r="C469" s="20" t="s">
        <v>601</v>
      </c>
      <c r="D469" s="20" t="s">
        <v>602</v>
      </c>
      <c r="E469" s="20" t="s">
        <v>603</v>
      </c>
      <c r="F469" s="20" t="s">
        <v>1099</v>
      </c>
      <c r="G469" s="20" t="s">
        <v>78</v>
      </c>
      <c r="H469" s="20" t="s">
        <v>71</v>
      </c>
      <c r="I469" s="20" t="s">
        <v>72</v>
      </c>
      <c r="J469" s="20" t="s">
        <v>25</v>
      </c>
      <c r="K469" s="20" t="s">
        <v>597</v>
      </c>
    </row>
    <row r="470" spans="1:11" ht="30" customHeight="1" x14ac:dyDescent="0.25">
      <c r="A470" s="20" t="s">
        <v>373</v>
      </c>
      <c r="B470" s="20" t="s">
        <v>374</v>
      </c>
      <c r="C470" s="20" t="s">
        <v>854</v>
      </c>
      <c r="D470" s="20" t="s">
        <v>855</v>
      </c>
      <c r="E470" s="20" t="s">
        <v>856</v>
      </c>
      <c r="F470" s="20" t="s">
        <v>1100</v>
      </c>
      <c r="G470" s="20" t="s">
        <v>78</v>
      </c>
      <c r="H470" s="20" t="s">
        <v>78</v>
      </c>
      <c r="I470" s="20" t="s">
        <v>72</v>
      </c>
      <c r="J470" s="20" t="s">
        <v>25</v>
      </c>
      <c r="K470" s="20" t="s">
        <v>597</v>
      </c>
    </row>
    <row r="471" spans="1:11" ht="30" customHeight="1" x14ac:dyDescent="0.25">
      <c r="A471" s="20" t="s">
        <v>373</v>
      </c>
      <c r="B471" s="20" t="s">
        <v>374</v>
      </c>
      <c r="C471" s="20" t="s">
        <v>609</v>
      </c>
      <c r="D471" s="20" t="s">
        <v>610</v>
      </c>
      <c r="E471" s="20" t="s">
        <v>595</v>
      </c>
      <c r="F471" s="20" t="s">
        <v>1101</v>
      </c>
      <c r="G471" s="20" t="s">
        <v>78</v>
      </c>
      <c r="H471" s="20" t="s">
        <v>71</v>
      </c>
      <c r="I471" s="20" t="s">
        <v>72</v>
      </c>
      <c r="J471" s="20" t="s">
        <v>25</v>
      </c>
      <c r="K471" s="20" t="s">
        <v>597</v>
      </c>
    </row>
    <row r="472" spans="1:11" ht="30" customHeight="1" x14ac:dyDescent="0.25">
      <c r="A472" s="20" t="s">
        <v>378</v>
      </c>
      <c r="B472" s="20" t="s">
        <v>379</v>
      </c>
      <c r="C472" s="20" t="s">
        <v>679</v>
      </c>
      <c r="D472" s="20" t="s">
        <v>680</v>
      </c>
      <c r="E472" s="20" t="s">
        <v>681</v>
      </c>
      <c r="F472" s="20" t="s">
        <v>1102</v>
      </c>
      <c r="G472" s="20" t="s">
        <v>78</v>
      </c>
      <c r="H472" s="20" t="s">
        <v>71</v>
      </c>
      <c r="I472" s="20" t="s">
        <v>72</v>
      </c>
      <c r="J472" s="20" t="s">
        <v>25</v>
      </c>
      <c r="K472" s="20" t="s">
        <v>597</v>
      </c>
    </row>
    <row r="473" spans="1:11" ht="30" customHeight="1" x14ac:dyDescent="0.25">
      <c r="A473" s="20" t="s">
        <v>378</v>
      </c>
      <c r="B473" s="20" t="s">
        <v>379</v>
      </c>
      <c r="C473" s="20" t="s">
        <v>1094</v>
      </c>
      <c r="D473" s="20" t="s">
        <v>1095</v>
      </c>
      <c r="E473" s="20" t="s">
        <v>1096</v>
      </c>
      <c r="F473" s="20" t="s">
        <v>1103</v>
      </c>
      <c r="G473" s="20" t="s">
        <v>78</v>
      </c>
      <c r="H473" s="20" t="s">
        <v>78</v>
      </c>
      <c r="I473" s="20" t="s">
        <v>72</v>
      </c>
      <c r="J473" s="20" t="s">
        <v>25</v>
      </c>
      <c r="K473" s="20" t="s">
        <v>597</v>
      </c>
    </row>
    <row r="474" spans="1:11" ht="30" customHeight="1" x14ac:dyDescent="0.25">
      <c r="A474" s="20" t="s">
        <v>378</v>
      </c>
      <c r="B474" s="20" t="s">
        <v>379</v>
      </c>
      <c r="C474" s="20" t="s">
        <v>598</v>
      </c>
      <c r="D474" s="20" t="s">
        <v>599</v>
      </c>
      <c r="E474" s="20" t="s">
        <v>595</v>
      </c>
      <c r="F474" s="20" t="s">
        <v>1104</v>
      </c>
      <c r="G474" s="20" t="s">
        <v>78</v>
      </c>
      <c r="H474" s="20" t="s">
        <v>71</v>
      </c>
      <c r="I474" s="20" t="s">
        <v>72</v>
      </c>
      <c r="J474" s="20" t="s">
        <v>25</v>
      </c>
      <c r="K474" s="20" t="s">
        <v>597</v>
      </c>
    </row>
    <row r="475" spans="1:11" ht="30" customHeight="1" x14ac:dyDescent="0.25">
      <c r="A475" s="20" t="s">
        <v>378</v>
      </c>
      <c r="B475" s="20" t="s">
        <v>379</v>
      </c>
      <c r="C475" s="20" t="s">
        <v>601</v>
      </c>
      <c r="D475" s="20" t="s">
        <v>602</v>
      </c>
      <c r="E475" s="20" t="s">
        <v>603</v>
      </c>
      <c r="F475" s="20" t="s">
        <v>1105</v>
      </c>
      <c r="G475" s="20" t="s">
        <v>78</v>
      </c>
      <c r="H475" s="20" t="s">
        <v>71</v>
      </c>
      <c r="I475" s="20" t="s">
        <v>72</v>
      </c>
      <c r="J475" s="20" t="s">
        <v>25</v>
      </c>
      <c r="K475" s="20" t="s">
        <v>597</v>
      </c>
    </row>
    <row r="476" spans="1:11" ht="30" customHeight="1" x14ac:dyDescent="0.25">
      <c r="A476" s="20" t="s">
        <v>378</v>
      </c>
      <c r="B476" s="20" t="s">
        <v>379</v>
      </c>
      <c r="C476" s="20" t="s">
        <v>854</v>
      </c>
      <c r="D476" s="20" t="s">
        <v>855</v>
      </c>
      <c r="E476" s="20" t="s">
        <v>856</v>
      </c>
      <c r="F476" s="20" t="s">
        <v>1106</v>
      </c>
      <c r="G476" s="20" t="s">
        <v>78</v>
      </c>
      <c r="H476" s="20" t="s">
        <v>78</v>
      </c>
      <c r="I476" s="20" t="s">
        <v>72</v>
      </c>
      <c r="J476" s="20" t="s">
        <v>25</v>
      </c>
      <c r="K476" s="20" t="s">
        <v>597</v>
      </c>
    </row>
    <row r="477" spans="1:11" ht="30" customHeight="1" x14ac:dyDescent="0.25">
      <c r="A477" s="20" t="s">
        <v>378</v>
      </c>
      <c r="B477" s="20" t="s">
        <v>379</v>
      </c>
      <c r="C477" s="20" t="s">
        <v>609</v>
      </c>
      <c r="D477" s="20" t="s">
        <v>610</v>
      </c>
      <c r="E477" s="20" t="s">
        <v>595</v>
      </c>
      <c r="F477" s="20" t="s">
        <v>1107</v>
      </c>
      <c r="G477" s="20" t="s">
        <v>78</v>
      </c>
      <c r="H477" s="20" t="s">
        <v>71</v>
      </c>
      <c r="I477" s="20" t="s">
        <v>72</v>
      </c>
      <c r="J477" s="20" t="s">
        <v>25</v>
      </c>
      <c r="K477" s="20" t="s">
        <v>597</v>
      </c>
    </row>
    <row r="478" spans="1:11" ht="30" customHeight="1" x14ac:dyDescent="0.25">
      <c r="A478" s="20" t="s">
        <v>381</v>
      </c>
      <c r="B478" s="20" t="s">
        <v>382</v>
      </c>
      <c r="C478" s="20" t="s">
        <v>679</v>
      </c>
      <c r="D478" s="20" t="s">
        <v>680</v>
      </c>
      <c r="E478" s="20" t="s">
        <v>681</v>
      </c>
      <c r="F478" s="20" t="s">
        <v>1108</v>
      </c>
      <c r="G478" s="20" t="s">
        <v>71</v>
      </c>
      <c r="H478" s="20" t="s">
        <v>71</v>
      </c>
      <c r="I478" s="20" t="s">
        <v>72</v>
      </c>
      <c r="J478" s="20" t="s">
        <v>25</v>
      </c>
      <c r="K478" s="20" t="s">
        <v>597</v>
      </c>
    </row>
    <row r="479" spans="1:11" ht="30" customHeight="1" x14ac:dyDescent="0.25">
      <c r="A479" s="20" t="s">
        <v>381</v>
      </c>
      <c r="B479" s="20" t="s">
        <v>382</v>
      </c>
      <c r="C479" s="20" t="s">
        <v>1094</v>
      </c>
      <c r="D479" s="20" t="s">
        <v>1095</v>
      </c>
      <c r="E479" s="20" t="s">
        <v>1096</v>
      </c>
      <c r="F479" s="20" t="s">
        <v>1109</v>
      </c>
      <c r="G479" s="20" t="s">
        <v>71</v>
      </c>
      <c r="H479" s="20" t="s">
        <v>78</v>
      </c>
      <c r="I479" s="20" t="s">
        <v>72</v>
      </c>
      <c r="J479" s="20" t="s">
        <v>25</v>
      </c>
      <c r="K479" s="20" t="s">
        <v>597</v>
      </c>
    </row>
    <row r="480" spans="1:11" ht="30" customHeight="1" x14ac:dyDescent="0.25">
      <c r="A480" s="20" t="s">
        <v>381</v>
      </c>
      <c r="B480" s="20" t="s">
        <v>382</v>
      </c>
      <c r="C480" s="20" t="s">
        <v>598</v>
      </c>
      <c r="D480" s="20" t="s">
        <v>599</v>
      </c>
      <c r="E480" s="20" t="s">
        <v>595</v>
      </c>
      <c r="F480" s="20" t="s">
        <v>1110</v>
      </c>
      <c r="G480" s="20" t="s">
        <v>71</v>
      </c>
      <c r="H480" s="20" t="s">
        <v>71</v>
      </c>
      <c r="I480" s="20" t="s">
        <v>72</v>
      </c>
      <c r="J480" s="20" t="s">
        <v>25</v>
      </c>
      <c r="K480" s="20" t="s">
        <v>597</v>
      </c>
    </row>
    <row r="481" spans="1:11" ht="30" customHeight="1" x14ac:dyDescent="0.25">
      <c r="A481" s="20" t="s">
        <v>381</v>
      </c>
      <c r="B481" s="20" t="s">
        <v>382</v>
      </c>
      <c r="C481" s="20" t="s">
        <v>601</v>
      </c>
      <c r="D481" s="20" t="s">
        <v>602</v>
      </c>
      <c r="E481" s="20" t="s">
        <v>603</v>
      </c>
      <c r="F481" s="20" t="s">
        <v>1111</v>
      </c>
      <c r="G481" s="20" t="s">
        <v>71</v>
      </c>
      <c r="H481" s="20" t="s">
        <v>71</v>
      </c>
      <c r="I481" s="20" t="s">
        <v>72</v>
      </c>
      <c r="J481" s="20" t="s">
        <v>25</v>
      </c>
      <c r="K481" s="20" t="s">
        <v>597</v>
      </c>
    </row>
    <row r="482" spans="1:11" ht="30" customHeight="1" x14ac:dyDescent="0.25">
      <c r="A482" s="20" t="s">
        <v>381</v>
      </c>
      <c r="B482" s="20" t="s">
        <v>382</v>
      </c>
      <c r="C482" s="20" t="s">
        <v>854</v>
      </c>
      <c r="D482" s="20" t="s">
        <v>855</v>
      </c>
      <c r="E482" s="20" t="s">
        <v>856</v>
      </c>
      <c r="F482" s="20" t="s">
        <v>1112</v>
      </c>
      <c r="G482" s="20" t="s">
        <v>71</v>
      </c>
      <c r="H482" s="20" t="s">
        <v>78</v>
      </c>
      <c r="I482" s="20" t="s">
        <v>72</v>
      </c>
      <c r="J482" s="20" t="s">
        <v>25</v>
      </c>
      <c r="K482" s="20" t="s">
        <v>597</v>
      </c>
    </row>
    <row r="483" spans="1:11" ht="30" customHeight="1" x14ac:dyDescent="0.25">
      <c r="A483" s="20" t="s">
        <v>381</v>
      </c>
      <c r="B483" s="20" t="s">
        <v>382</v>
      </c>
      <c r="C483" s="20" t="s">
        <v>609</v>
      </c>
      <c r="D483" s="20" t="s">
        <v>610</v>
      </c>
      <c r="E483" s="20" t="s">
        <v>595</v>
      </c>
      <c r="F483" s="20" t="s">
        <v>1113</v>
      </c>
      <c r="G483" s="20" t="s">
        <v>71</v>
      </c>
      <c r="H483" s="20" t="s">
        <v>71</v>
      </c>
      <c r="I483" s="20" t="s">
        <v>72</v>
      </c>
      <c r="J483" s="20" t="s">
        <v>25</v>
      </c>
      <c r="K483" s="20" t="s">
        <v>597</v>
      </c>
    </row>
    <row r="484" spans="1:11" ht="30" customHeight="1" x14ac:dyDescent="0.25">
      <c r="A484" s="20" t="s">
        <v>385</v>
      </c>
      <c r="B484" s="20" t="s">
        <v>386</v>
      </c>
      <c r="C484" s="20" t="s">
        <v>679</v>
      </c>
      <c r="D484" s="20" t="s">
        <v>680</v>
      </c>
      <c r="E484" s="20" t="s">
        <v>681</v>
      </c>
      <c r="F484" s="20" t="s">
        <v>1114</v>
      </c>
      <c r="G484" s="20" t="s">
        <v>71</v>
      </c>
      <c r="H484" s="20" t="s">
        <v>71</v>
      </c>
      <c r="I484" s="20" t="s">
        <v>72</v>
      </c>
      <c r="J484" s="20" t="s">
        <v>25</v>
      </c>
      <c r="K484" s="20" t="s">
        <v>597</v>
      </c>
    </row>
    <row r="485" spans="1:11" ht="30" customHeight="1" x14ac:dyDescent="0.25">
      <c r="A485" s="20" t="s">
        <v>385</v>
      </c>
      <c r="B485" s="20" t="s">
        <v>386</v>
      </c>
      <c r="C485" s="20" t="s">
        <v>1094</v>
      </c>
      <c r="D485" s="20" t="s">
        <v>1095</v>
      </c>
      <c r="E485" s="20" t="s">
        <v>1096</v>
      </c>
      <c r="F485" s="20" t="s">
        <v>1115</v>
      </c>
      <c r="G485" s="20" t="s">
        <v>71</v>
      </c>
      <c r="H485" s="20" t="s">
        <v>78</v>
      </c>
      <c r="I485" s="20" t="s">
        <v>72</v>
      </c>
      <c r="J485" s="20" t="s">
        <v>25</v>
      </c>
      <c r="K485" s="20" t="s">
        <v>597</v>
      </c>
    </row>
    <row r="486" spans="1:11" ht="30" customHeight="1" x14ac:dyDescent="0.25">
      <c r="A486" s="20" t="s">
        <v>385</v>
      </c>
      <c r="B486" s="20" t="s">
        <v>386</v>
      </c>
      <c r="C486" s="20" t="s">
        <v>598</v>
      </c>
      <c r="D486" s="20" t="s">
        <v>599</v>
      </c>
      <c r="E486" s="20" t="s">
        <v>595</v>
      </c>
      <c r="F486" s="20" t="s">
        <v>1116</v>
      </c>
      <c r="G486" s="20" t="s">
        <v>71</v>
      </c>
      <c r="H486" s="20" t="s">
        <v>71</v>
      </c>
      <c r="I486" s="20" t="s">
        <v>72</v>
      </c>
      <c r="J486" s="20" t="s">
        <v>25</v>
      </c>
      <c r="K486" s="20" t="s">
        <v>597</v>
      </c>
    </row>
    <row r="487" spans="1:11" ht="30" customHeight="1" x14ac:dyDescent="0.25">
      <c r="A487" s="20" t="s">
        <v>385</v>
      </c>
      <c r="B487" s="20" t="s">
        <v>386</v>
      </c>
      <c r="C487" s="20" t="s">
        <v>601</v>
      </c>
      <c r="D487" s="20" t="s">
        <v>602</v>
      </c>
      <c r="E487" s="20" t="s">
        <v>603</v>
      </c>
      <c r="F487" s="20" t="s">
        <v>1117</v>
      </c>
      <c r="G487" s="20" t="s">
        <v>71</v>
      </c>
      <c r="H487" s="20" t="s">
        <v>71</v>
      </c>
      <c r="I487" s="20" t="s">
        <v>72</v>
      </c>
      <c r="J487" s="20" t="s">
        <v>25</v>
      </c>
      <c r="K487" s="20" t="s">
        <v>597</v>
      </c>
    </row>
    <row r="488" spans="1:11" ht="30" customHeight="1" x14ac:dyDescent="0.25">
      <c r="A488" s="20" t="s">
        <v>385</v>
      </c>
      <c r="B488" s="20" t="s">
        <v>386</v>
      </c>
      <c r="C488" s="20" t="s">
        <v>854</v>
      </c>
      <c r="D488" s="20" t="s">
        <v>855</v>
      </c>
      <c r="E488" s="20" t="s">
        <v>856</v>
      </c>
      <c r="F488" s="20" t="s">
        <v>1118</v>
      </c>
      <c r="G488" s="20" t="s">
        <v>71</v>
      </c>
      <c r="H488" s="20" t="s">
        <v>78</v>
      </c>
      <c r="I488" s="20" t="s">
        <v>72</v>
      </c>
      <c r="J488" s="20" t="s">
        <v>25</v>
      </c>
      <c r="K488" s="20" t="s">
        <v>597</v>
      </c>
    </row>
    <row r="489" spans="1:11" ht="30" customHeight="1" x14ac:dyDescent="0.25">
      <c r="A489" s="20" t="s">
        <v>385</v>
      </c>
      <c r="B489" s="20" t="s">
        <v>386</v>
      </c>
      <c r="C489" s="20" t="s">
        <v>609</v>
      </c>
      <c r="D489" s="20" t="s">
        <v>610</v>
      </c>
      <c r="E489" s="20" t="s">
        <v>595</v>
      </c>
      <c r="F489" s="20" t="s">
        <v>1119</v>
      </c>
      <c r="G489" s="20" t="s">
        <v>71</v>
      </c>
      <c r="H489" s="20" t="s">
        <v>71</v>
      </c>
      <c r="I489" s="20" t="s">
        <v>72</v>
      </c>
      <c r="J489" s="20" t="s">
        <v>25</v>
      </c>
      <c r="K489" s="20" t="s">
        <v>597</v>
      </c>
    </row>
    <row r="490" spans="1:11" ht="30" customHeight="1" x14ac:dyDescent="0.25">
      <c r="A490" s="20" t="s">
        <v>388</v>
      </c>
      <c r="B490" s="20" t="s">
        <v>389</v>
      </c>
      <c r="C490" s="20" t="s">
        <v>679</v>
      </c>
      <c r="D490" s="20" t="s">
        <v>680</v>
      </c>
      <c r="E490" s="20" t="s">
        <v>681</v>
      </c>
      <c r="F490" s="20" t="s">
        <v>1120</v>
      </c>
      <c r="G490" s="20" t="s">
        <v>78</v>
      </c>
      <c r="H490" s="20" t="s">
        <v>71</v>
      </c>
      <c r="I490" s="20" t="s">
        <v>72</v>
      </c>
      <c r="J490" s="20" t="s">
        <v>25</v>
      </c>
      <c r="K490" s="20" t="s">
        <v>597</v>
      </c>
    </row>
    <row r="491" spans="1:11" ht="30" customHeight="1" x14ac:dyDescent="0.25">
      <c r="A491" s="20" t="s">
        <v>388</v>
      </c>
      <c r="B491" s="20" t="s">
        <v>389</v>
      </c>
      <c r="C491" s="20" t="s">
        <v>1094</v>
      </c>
      <c r="D491" s="20" t="s">
        <v>1095</v>
      </c>
      <c r="E491" s="20" t="s">
        <v>1096</v>
      </c>
      <c r="F491" s="20" t="s">
        <v>1121</v>
      </c>
      <c r="G491" s="20" t="s">
        <v>78</v>
      </c>
      <c r="H491" s="20" t="s">
        <v>78</v>
      </c>
      <c r="I491" s="20" t="s">
        <v>72</v>
      </c>
      <c r="J491" s="20" t="s">
        <v>25</v>
      </c>
      <c r="K491" s="20" t="s">
        <v>597</v>
      </c>
    </row>
    <row r="492" spans="1:11" ht="30" customHeight="1" x14ac:dyDescent="0.25">
      <c r="A492" s="20" t="s">
        <v>388</v>
      </c>
      <c r="B492" s="20" t="s">
        <v>389</v>
      </c>
      <c r="C492" s="20" t="s">
        <v>598</v>
      </c>
      <c r="D492" s="20" t="s">
        <v>599</v>
      </c>
      <c r="E492" s="20" t="s">
        <v>595</v>
      </c>
      <c r="F492" s="20" t="s">
        <v>1122</v>
      </c>
      <c r="G492" s="20" t="s">
        <v>78</v>
      </c>
      <c r="H492" s="20" t="s">
        <v>71</v>
      </c>
      <c r="I492" s="20" t="s">
        <v>72</v>
      </c>
      <c r="J492" s="20" t="s">
        <v>25</v>
      </c>
      <c r="K492" s="20" t="s">
        <v>597</v>
      </c>
    </row>
    <row r="493" spans="1:11" ht="30" customHeight="1" x14ac:dyDescent="0.25">
      <c r="A493" s="20" t="s">
        <v>388</v>
      </c>
      <c r="B493" s="20" t="s">
        <v>389</v>
      </c>
      <c r="C493" s="20" t="s">
        <v>601</v>
      </c>
      <c r="D493" s="20" t="s">
        <v>602</v>
      </c>
      <c r="E493" s="20" t="s">
        <v>603</v>
      </c>
      <c r="F493" s="20" t="s">
        <v>1123</v>
      </c>
      <c r="G493" s="20" t="s">
        <v>78</v>
      </c>
      <c r="H493" s="20" t="s">
        <v>71</v>
      </c>
      <c r="I493" s="20" t="s">
        <v>72</v>
      </c>
      <c r="J493" s="20" t="s">
        <v>25</v>
      </c>
      <c r="K493" s="20" t="s">
        <v>597</v>
      </c>
    </row>
    <row r="494" spans="1:11" ht="30" customHeight="1" x14ac:dyDescent="0.25">
      <c r="A494" s="20" t="s">
        <v>388</v>
      </c>
      <c r="B494" s="20" t="s">
        <v>389</v>
      </c>
      <c r="C494" s="20" t="s">
        <v>854</v>
      </c>
      <c r="D494" s="20" t="s">
        <v>855</v>
      </c>
      <c r="E494" s="20" t="s">
        <v>856</v>
      </c>
      <c r="F494" s="20" t="s">
        <v>1124</v>
      </c>
      <c r="G494" s="20" t="s">
        <v>78</v>
      </c>
      <c r="H494" s="20" t="s">
        <v>78</v>
      </c>
      <c r="I494" s="20" t="s">
        <v>72</v>
      </c>
      <c r="J494" s="20" t="s">
        <v>25</v>
      </c>
      <c r="K494" s="20" t="s">
        <v>597</v>
      </c>
    </row>
    <row r="495" spans="1:11" ht="30" customHeight="1" x14ac:dyDescent="0.25">
      <c r="A495" s="20" t="s">
        <v>388</v>
      </c>
      <c r="B495" s="20" t="s">
        <v>389</v>
      </c>
      <c r="C495" s="20" t="s">
        <v>609</v>
      </c>
      <c r="D495" s="20" t="s">
        <v>610</v>
      </c>
      <c r="E495" s="20" t="s">
        <v>595</v>
      </c>
      <c r="F495" s="20" t="s">
        <v>1125</v>
      </c>
      <c r="G495" s="20" t="s">
        <v>78</v>
      </c>
      <c r="H495" s="20" t="s">
        <v>71</v>
      </c>
      <c r="I495" s="20" t="s">
        <v>72</v>
      </c>
      <c r="J495" s="20" t="s">
        <v>25</v>
      </c>
      <c r="K495" s="20" t="s">
        <v>597</v>
      </c>
    </row>
    <row r="496" spans="1:11" ht="30" customHeight="1" x14ac:dyDescent="0.25">
      <c r="A496" s="20" t="s">
        <v>391</v>
      </c>
      <c r="B496" s="20" t="s">
        <v>392</v>
      </c>
      <c r="C496" s="20" t="s">
        <v>679</v>
      </c>
      <c r="D496" s="20" t="s">
        <v>680</v>
      </c>
      <c r="E496" s="20" t="s">
        <v>681</v>
      </c>
      <c r="F496" s="20" t="s">
        <v>1126</v>
      </c>
      <c r="G496" s="20" t="s">
        <v>71</v>
      </c>
      <c r="H496" s="20" t="s">
        <v>71</v>
      </c>
      <c r="I496" s="20" t="s">
        <v>72</v>
      </c>
      <c r="J496" s="20" t="s">
        <v>25</v>
      </c>
      <c r="K496" s="20" t="s">
        <v>597</v>
      </c>
    </row>
    <row r="497" spans="1:11" ht="30" customHeight="1" x14ac:dyDescent="0.25">
      <c r="A497" s="20" t="s">
        <v>391</v>
      </c>
      <c r="B497" s="20" t="s">
        <v>392</v>
      </c>
      <c r="C497" s="20" t="s">
        <v>1094</v>
      </c>
      <c r="D497" s="20" t="s">
        <v>1095</v>
      </c>
      <c r="E497" s="20" t="s">
        <v>1096</v>
      </c>
      <c r="F497" s="20" t="s">
        <v>1127</v>
      </c>
      <c r="G497" s="20" t="s">
        <v>71</v>
      </c>
      <c r="H497" s="20" t="s">
        <v>78</v>
      </c>
      <c r="I497" s="20" t="s">
        <v>72</v>
      </c>
      <c r="J497" s="20" t="s">
        <v>25</v>
      </c>
      <c r="K497" s="20" t="s">
        <v>597</v>
      </c>
    </row>
    <row r="498" spans="1:11" ht="30" customHeight="1" x14ac:dyDescent="0.25">
      <c r="A498" s="20" t="s">
        <v>391</v>
      </c>
      <c r="B498" s="20" t="s">
        <v>392</v>
      </c>
      <c r="C498" s="20" t="s">
        <v>598</v>
      </c>
      <c r="D498" s="20" t="s">
        <v>599</v>
      </c>
      <c r="E498" s="20" t="s">
        <v>595</v>
      </c>
      <c r="F498" s="20" t="s">
        <v>1128</v>
      </c>
      <c r="G498" s="20" t="s">
        <v>71</v>
      </c>
      <c r="H498" s="20" t="s">
        <v>71</v>
      </c>
      <c r="I498" s="20" t="s">
        <v>72</v>
      </c>
      <c r="J498" s="20" t="s">
        <v>25</v>
      </c>
      <c r="K498" s="20" t="s">
        <v>597</v>
      </c>
    </row>
    <row r="499" spans="1:11" ht="30" customHeight="1" x14ac:dyDescent="0.25">
      <c r="A499" s="20" t="s">
        <v>391</v>
      </c>
      <c r="B499" s="20" t="s">
        <v>392</v>
      </c>
      <c r="C499" s="20" t="s">
        <v>601</v>
      </c>
      <c r="D499" s="20" t="s">
        <v>602</v>
      </c>
      <c r="E499" s="20" t="s">
        <v>603</v>
      </c>
      <c r="F499" s="20" t="s">
        <v>1129</v>
      </c>
      <c r="G499" s="20" t="s">
        <v>71</v>
      </c>
      <c r="H499" s="20" t="s">
        <v>71</v>
      </c>
      <c r="I499" s="20" t="s">
        <v>72</v>
      </c>
      <c r="J499" s="20" t="s">
        <v>25</v>
      </c>
      <c r="K499" s="20" t="s">
        <v>597</v>
      </c>
    </row>
    <row r="500" spans="1:11" ht="30" customHeight="1" x14ac:dyDescent="0.25">
      <c r="A500" s="20" t="s">
        <v>391</v>
      </c>
      <c r="B500" s="20" t="s">
        <v>392</v>
      </c>
      <c r="C500" s="20" t="s">
        <v>854</v>
      </c>
      <c r="D500" s="20" t="s">
        <v>855</v>
      </c>
      <c r="E500" s="20" t="s">
        <v>856</v>
      </c>
      <c r="F500" s="20" t="s">
        <v>1130</v>
      </c>
      <c r="G500" s="20" t="s">
        <v>71</v>
      </c>
      <c r="H500" s="20" t="s">
        <v>78</v>
      </c>
      <c r="I500" s="20" t="s">
        <v>72</v>
      </c>
      <c r="J500" s="20" t="s">
        <v>25</v>
      </c>
      <c r="K500" s="20" t="s">
        <v>597</v>
      </c>
    </row>
    <row r="501" spans="1:11" ht="30" customHeight="1" x14ac:dyDescent="0.25">
      <c r="A501" s="20" t="s">
        <v>391</v>
      </c>
      <c r="B501" s="20" t="s">
        <v>392</v>
      </c>
      <c r="C501" s="20" t="s">
        <v>609</v>
      </c>
      <c r="D501" s="20" t="s">
        <v>610</v>
      </c>
      <c r="E501" s="20" t="s">
        <v>595</v>
      </c>
      <c r="F501" s="20" t="s">
        <v>1131</v>
      </c>
      <c r="G501" s="20" t="s">
        <v>71</v>
      </c>
      <c r="H501" s="20" t="s">
        <v>71</v>
      </c>
      <c r="I501" s="20" t="s">
        <v>72</v>
      </c>
      <c r="J501" s="20" t="s">
        <v>25</v>
      </c>
      <c r="K501" s="20" t="s">
        <v>597</v>
      </c>
    </row>
    <row r="502" spans="1:11" ht="30" customHeight="1" x14ac:dyDescent="0.25">
      <c r="A502" s="20" t="s">
        <v>396</v>
      </c>
      <c r="B502" s="20" t="s">
        <v>397</v>
      </c>
      <c r="C502" s="20" t="s">
        <v>679</v>
      </c>
      <c r="D502" s="20" t="s">
        <v>680</v>
      </c>
      <c r="E502" s="20" t="s">
        <v>681</v>
      </c>
      <c r="F502" s="20" t="s">
        <v>1132</v>
      </c>
      <c r="G502" s="20" t="s">
        <v>78</v>
      </c>
      <c r="H502" s="20" t="s">
        <v>71</v>
      </c>
      <c r="I502" s="20" t="s">
        <v>72</v>
      </c>
      <c r="J502" s="20" t="s">
        <v>25</v>
      </c>
      <c r="K502" s="20" t="s">
        <v>597</v>
      </c>
    </row>
    <row r="503" spans="1:11" ht="30" customHeight="1" x14ac:dyDescent="0.25">
      <c r="A503" s="20" t="s">
        <v>396</v>
      </c>
      <c r="B503" s="20" t="s">
        <v>397</v>
      </c>
      <c r="C503" s="20" t="s">
        <v>1094</v>
      </c>
      <c r="D503" s="20" t="s">
        <v>1095</v>
      </c>
      <c r="E503" s="20" t="s">
        <v>1096</v>
      </c>
      <c r="F503" s="20" t="s">
        <v>1133</v>
      </c>
      <c r="G503" s="20" t="s">
        <v>78</v>
      </c>
      <c r="H503" s="20" t="s">
        <v>78</v>
      </c>
      <c r="I503" s="20" t="s">
        <v>72</v>
      </c>
      <c r="J503" s="20" t="s">
        <v>25</v>
      </c>
      <c r="K503" s="20" t="s">
        <v>597</v>
      </c>
    </row>
    <row r="504" spans="1:11" ht="30" customHeight="1" x14ac:dyDescent="0.25">
      <c r="A504" s="20" t="s">
        <v>396</v>
      </c>
      <c r="B504" s="20" t="s">
        <v>397</v>
      </c>
      <c r="C504" s="20" t="s">
        <v>598</v>
      </c>
      <c r="D504" s="20" t="s">
        <v>599</v>
      </c>
      <c r="E504" s="20" t="s">
        <v>595</v>
      </c>
      <c r="F504" s="20" t="s">
        <v>1134</v>
      </c>
      <c r="G504" s="20" t="s">
        <v>78</v>
      </c>
      <c r="H504" s="20" t="s">
        <v>71</v>
      </c>
      <c r="I504" s="20" t="s">
        <v>72</v>
      </c>
      <c r="J504" s="20" t="s">
        <v>25</v>
      </c>
      <c r="K504" s="20" t="s">
        <v>597</v>
      </c>
    </row>
    <row r="505" spans="1:11" ht="30" customHeight="1" x14ac:dyDescent="0.25">
      <c r="A505" s="20" t="s">
        <v>396</v>
      </c>
      <c r="B505" s="20" t="s">
        <v>397</v>
      </c>
      <c r="C505" s="20" t="s">
        <v>601</v>
      </c>
      <c r="D505" s="20" t="s">
        <v>602</v>
      </c>
      <c r="E505" s="20" t="s">
        <v>603</v>
      </c>
      <c r="F505" s="20" t="s">
        <v>1135</v>
      </c>
      <c r="G505" s="20" t="s">
        <v>78</v>
      </c>
      <c r="H505" s="20" t="s">
        <v>71</v>
      </c>
      <c r="I505" s="20" t="s">
        <v>72</v>
      </c>
      <c r="J505" s="20" t="s">
        <v>25</v>
      </c>
      <c r="K505" s="20" t="s">
        <v>597</v>
      </c>
    </row>
    <row r="506" spans="1:11" ht="30" customHeight="1" x14ac:dyDescent="0.25">
      <c r="A506" s="20" t="s">
        <v>396</v>
      </c>
      <c r="B506" s="20" t="s">
        <v>397</v>
      </c>
      <c r="C506" s="20" t="s">
        <v>854</v>
      </c>
      <c r="D506" s="20" t="s">
        <v>855</v>
      </c>
      <c r="E506" s="20" t="s">
        <v>856</v>
      </c>
      <c r="F506" s="20" t="s">
        <v>1136</v>
      </c>
      <c r="G506" s="20" t="s">
        <v>78</v>
      </c>
      <c r="H506" s="20" t="s">
        <v>78</v>
      </c>
      <c r="I506" s="20" t="s">
        <v>72</v>
      </c>
      <c r="J506" s="20" t="s">
        <v>25</v>
      </c>
      <c r="K506" s="20" t="s">
        <v>597</v>
      </c>
    </row>
    <row r="507" spans="1:11" ht="30" customHeight="1" x14ac:dyDescent="0.25">
      <c r="A507" s="20" t="s">
        <v>396</v>
      </c>
      <c r="B507" s="20" t="s">
        <v>397</v>
      </c>
      <c r="C507" s="20" t="s">
        <v>609</v>
      </c>
      <c r="D507" s="20" t="s">
        <v>610</v>
      </c>
      <c r="E507" s="20" t="s">
        <v>595</v>
      </c>
      <c r="F507" s="20" t="s">
        <v>1137</v>
      </c>
      <c r="G507" s="20" t="s">
        <v>78</v>
      </c>
      <c r="H507" s="20" t="s">
        <v>71</v>
      </c>
      <c r="I507" s="20" t="s">
        <v>72</v>
      </c>
      <c r="J507" s="20" t="s">
        <v>25</v>
      </c>
      <c r="K507" s="20" t="s">
        <v>597</v>
      </c>
    </row>
    <row r="508" spans="1:11" ht="30" customHeight="1" x14ac:dyDescent="0.25">
      <c r="A508" s="20" t="s">
        <v>399</v>
      </c>
      <c r="B508" s="20" t="s">
        <v>400</v>
      </c>
      <c r="C508" s="20" t="s">
        <v>679</v>
      </c>
      <c r="D508" s="20" t="s">
        <v>680</v>
      </c>
      <c r="E508" s="20" t="s">
        <v>681</v>
      </c>
      <c r="F508" s="20" t="s">
        <v>1138</v>
      </c>
      <c r="G508" s="20" t="s">
        <v>78</v>
      </c>
      <c r="H508" s="20" t="s">
        <v>71</v>
      </c>
      <c r="I508" s="20" t="s">
        <v>72</v>
      </c>
      <c r="J508" s="20" t="s">
        <v>25</v>
      </c>
      <c r="K508" s="20" t="s">
        <v>597</v>
      </c>
    </row>
    <row r="509" spans="1:11" ht="30" customHeight="1" x14ac:dyDescent="0.25">
      <c r="A509" s="20" t="s">
        <v>399</v>
      </c>
      <c r="B509" s="20" t="s">
        <v>400</v>
      </c>
      <c r="C509" s="20" t="s">
        <v>1094</v>
      </c>
      <c r="D509" s="20" t="s">
        <v>1095</v>
      </c>
      <c r="E509" s="20" t="s">
        <v>1096</v>
      </c>
      <c r="F509" s="20" t="s">
        <v>1139</v>
      </c>
      <c r="G509" s="20" t="s">
        <v>78</v>
      </c>
      <c r="H509" s="20" t="s">
        <v>78</v>
      </c>
      <c r="I509" s="20" t="s">
        <v>72</v>
      </c>
      <c r="J509" s="20" t="s">
        <v>25</v>
      </c>
      <c r="K509" s="20" t="s">
        <v>597</v>
      </c>
    </row>
    <row r="510" spans="1:11" ht="30" customHeight="1" x14ac:dyDescent="0.25">
      <c r="A510" s="20" t="s">
        <v>399</v>
      </c>
      <c r="B510" s="20" t="s">
        <v>400</v>
      </c>
      <c r="C510" s="20" t="s">
        <v>598</v>
      </c>
      <c r="D510" s="20" t="s">
        <v>599</v>
      </c>
      <c r="E510" s="20" t="s">
        <v>595</v>
      </c>
      <c r="F510" s="20" t="s">
        <v>1140</v>
      </c>
      <c r="G510" s="20" t="s">
        <v>78</v>
      </c>
      <c r="H510" s="20" t="s">
        <v>71</v>
      </c>
      <c r="I510" s="20" t="s">
        <v>72</v>
      </c>
      <c r="J510" s="20" t="s">
        <v>25</v>
      </c>
      <c r="K510" s="20" t="s">
        <v>597</v>
      </c>
    </row>
    <row r="511" spans="1:11" ht="30" customHeight="1" x14ac:dyDescent="0.25">
      <c r="A511" s="20" t="s">
        <v>399</v>
      </c>
      <c r="B511" s="20" t="s">
        <v>400</v>
      </c>
      <c r="C511" s="20" t="s">
        <v>601</v>
      </c>
      <c r="D511" s="20" t="s">
        <v>602</v>
      </c>
      <c r="E511" s="20" t="s">
        <v>603</v>
      </c>
      <c r="F511" s="20" t="s">
        <v>1141</v>
      </c>
      <c r="G511" s="20" t="s">
        <v>78</v>
      </c>
      <c r="H511" s="20" t="s">
        <v>71</v>
      </c>
      <c r="I511" s="20" t="s">
        <v>72</v>
      </c>
      <c r="J511" s="20" t="s">
        <v>25</v>
      </c>
      <c r="K511" s="20" t="s">
        <v>597</v>
      </c>
    </row>
    <row r="512" spans="1:11" ht="30" customHeight="1" x14ac:dyDescent="0.25">
      <c r="A512" s="20" t="s">
        <v>399</v>
      </c>
      <c r="B512" s="20" t="s">
        <v>400</v>
      </c>
      <c r="C512" s="20" t="s">
        <v>854</v>
      </c>
      <c r="D512" s="20" t="s">
        <v>855</v>
      </c>
      <c r="E512" s="20" t="s">
        <v>856</v>
      </c>
      <c r="F512" s="20" t="s">
        <v>1142</v>
      </c>
      <c r="G512" s="20" t="s">
        <v>78</v>
      </c>
      <c r="H512" s="20" t="s">
        <v>78</v>
      </c>
      <c r="I512" s="20" t="s">
        <v>72</v>
      </c>
      <c r="J512" s="20" t="s">
        <v>25</v>
      </c>
      <c r="K512" s="20" t="s">
        <v>597</v>
      </c>
    </row>
    <row r="513" spans="1:11" ht="30" customHeight="1" x14ac:dyDescent="0.25">
      <c r="A513" s="20" t="s">
        <v>399</v>
      </c>
      <c r="B513" s="20" t="s">
        <v>400</v>
      </c>
      <c r="C513" s="20" t="s">
        <v>609</v>
      </c>
      <c r="D513" s="20" t="s">
        <v>610</v>
      </c>
      <c r="E513" s="20" t="s">
        <v>595</v>
      </c>
      <c r="F513" s="20" t="s">
        <v>1143</v>
      </c>
      <c r="G513" s="20" t="s">
        <v>78</v>
      </c>
      <c r="H513" s="20" t="s">
        <v>71</v>
      </c>
      <c r="I513" s="20" t="s">
        <v>72</v>
      </c>
      <c r="J513" s="20" t="s">
        <v>25</v>
      </c>
      <c r="K513" s="20" t="s">
        <v>597</v>
      </c>
    </row>
    <row r="514" spans="1:11" ht="30" customHeight="1" x14ac:dyDescent="0.25">
      <c r="A514" s="20" t="s">
        <v>403</v>
      </c>
      <c r="B514" s="20" t="s">
        <v>404</v>
      </c>
      <c r="C514" s="20" t="s">
        <v>594</v>
      </c>
      <c r="D514" s="20" t="s">
        <v>595</v>
      </c>
      <c r="E514" s="20" t="s">
        <v>595</v>
      </c>
      <c r="F514" s="20" t="s">
        <v>1144</v>
      </c>
      <c r="G514" s="20" t="s">
        <v>71</v>
      </c>
      <c r="H514" s="20" t="s">
        <v>71</v>
      </c>
      <c r="I514" s="20" t="s">
        <v>72</v>
      </c>
      <c r="J514" s="20" t="s">
        <v>25</v>
      </c>
      <c r="K514" s="20" t="s">
        <v>597</v>
      </c>
    </row>
    <row r="515" spans="1:11" ht="30" customHeight="1" x14ac:dyDescent="0.25">
      <c r="A515" s="20" t="s">
        <v>403</v>
      </c>
      <c r="B515" s="20" t="s">
        <v>404</v>
      </c>
      <c r="C515" s="20" t="s">
        <v>962</v>
      </c>
      <c r="D515" s="20" t="s">
        <v>963</v>
      </c>
      <c r="E515" s="20" t="s">
        <v>860</v>
      </c>
      <c r="F515" s="20" t="s">
        <v>1145</v>
      </c>
      <c r="G515" s="20" t="s">
        <v>71</v>
      </c>
      <c r="H515" s="20" t="s">
        <v>71</v>
      </c>
      <c r="I515" s="20" t="s">
        <v>72</v>
      </c>
      <c r="J515" s="20" t="s">
        <v>25</v>
      </c>
      <c r="K515" s="20" t="s">
        <v>597</v>
      </c>
    </row>
    <row r="516" spans="1:11" ht="30" customHeight="1" x14ac:dyDescent="0.25">
      <c r="A516" s="20" t="s">
        <v>403</v>
      </c>
      <c r="B516" s="20" t="s">
        <v>404</v>
      </c>
      <c r="C516" s="20" t="s">
        <v>654</v>
      </c>
      <c r="D516" s="20" t="s">
        <v>655</v>
      </c>
      <c r="E516" s="20" t="s">
        <v>595</v>
      </c>
      <c r="F516" s="20" t="s">
        <v>1146</v>
      </c>
      <c r="G516" s="20" t="s">
        <v>71</v>
      </c>
      <c r="H516" s="20" t="s">
        <v>78</v>
      </c>
      <c r="I516" s="20" t="s">
        <v>72</v>
      </c>
      <c r="J516" s="20" t="s">
        <v>25</v>
      </c>
      <c r="K516" s="20" t="s">
        <v>597</v>
      </c>
    </row>
    <row r="517" spans="1:11" ht="30" customHeight="1" x14ac:dyDescent="0.25">
      <c r="A517" s="20" t="s">
        <v>403</v>
      </c>
      <c r="B517" s="20" t="s">
        <v>404</v>
      </c>
      <c r="C517" s="20" t="s">
        <v>858</v>
      </c>
      <c r="D517" s="20" t="s">
        <v>859</v>
      </c>
      <c r="E517" s="20" t="s">
        <v>860</v>
      </c>
      <c r="F517" s="20" t="s">
        <v>1147</v>
      </c>
      <c r="G517" s="20" t="s">
        <v>71</v>
      </c>
      <c r="H517" s="20" t="s">
        <v>71</v>
      </c>
      <c r="I517" s="20" t="s">
        <v>72</v>
      </c>
      <c r="J517" s="20" t="s">
        <v>25</v>
      </c>
      <c r="K517" s="20" t="s">
        <v>597</v>
      </c>
    </row>
    <row r="518" spans="1:11" ht="30" customHeight="1" x14ac:dyDescent="0.25">
      <c r="A518" s="20" t="s">
        <v>403</v>
      </c>
      <c r="B518" s="20" t="s">
        <v>404</v>
      </c>
      <c r="C518" s="20" t="s">
        <v>605</v>
      </c>
      <c r="D518" s="20" t="s">
        <v>606</v>
      </c>
      <c r="E518" s="20" t="s">
        <v>607</v>
      </c>
      <c r="F518" s="20" t="s">
        <v>1148</v>
      </c>
      <c r="G518" s="20" t="s">
        <v>71</v>
      </c>
      <c r="H518" s="20" t="s">
        <v>78</v>
      </c>
      <c r="I518" s="20" t="s">
        <v>72</v>
      </c>
      <c r="J518" s="20" t="s">
        <v>25</v>
      </c>
      <c r="K518" s="20" t="s">
        <v>597</v>
      </c>
    </row>
    <row r="519" spans="1:11" ht="30" customHeight="1" x14ac:dyDescent="0.25">
      <c r="A519" s="20" t="s">
        <v>403</v>
      </c>
      <c r="B519" s="20" t="s">
        <v>404</v>
      </c>
      <c r="C519" s="20" t="s">
        <v>609</v>
      </c>
      <c r="D519" s="20" t="s">
        <v>610</v>
      </c>
      <c r="E519" s="20" t="s">
        <v>595</v>
      </c>
      <c r="F519" s="20" t="s">
        <v>1149</v>
      </c>
      <c r="G519" s="20" t="s">
        <v>71</v>
      </c>
      <c r="H519" s="20" t="s">
        <v>71</v>
      </c>
      <c r="I519" s="20" t="s">
        <v>72</v>
      </c>
      <c r="J519" s="20" t="s">
        <v>25</v>
      </c>
      <c r="K519" s="20" t="s">
        <v>597</v>
      </c>
    </row>
    <row r="520" spans="1:11" ht="30" customHeight="1" x14ac:dyDescent="0.25">
      <c r="A520" s="20" t="s">
        <v>407</v>
      </c>
      <c r="B520" s="20" t="s">
        <v>408</v>
      </c>
      <c r="C520" s="20" t="s">
        <v>594</v>
      </c>
      <c r="D520" s="20" t="s">
        <v>595</v>
      </c>
      <c r="E520" s="20" t="s">
        <v>595</v>
      </c>
      <c r="F520" s="20" t="s">
        <v>1150</v>
      </c>
      <c r="G520" s="20" t="s">
        <v>71</v>
      </c>
      <c r="H520" s="20" t="s">
        <v>71</v>
      </c>
      <c r="I520" s="20" t="s">
        <v>72</v>
      </c>
      <c r="J520" s="20" t="s">
        <v>25</v>
      </c>
      <c r="K520" s="20" t="s">
        <v>597</v>
      </c>
    </row>
    <row r="521" spans="1:11" ht="30" customHeight="1" x14ac:dyDescent="0.25">
      <c r="A521" s="20" t="s">
        <v>407</v>
      </c>
      <c r="B521" s="20" t="s">
        <v>408</v>
      </c>
      <c r="C521" s="20" t="s">
        <v>962</v>
      </c>
      <c r="D521" s="20" t="s">
        <v>963</v>
      </c>
      <c r="E521" s="20" t="s">
        <v>860</v>
      </c>
      <c r="F521" s="20" t="s">
        <v>1151</v>
      </c>
      <c r="G521" s="20" t="s">
        <v>71</v>
      </c>
      <c r="H521" s="20" t="s">
        <v>71</v>
      </c>
      <c r="I521" s="20" t="s">
        <v>72</v>
      </c>
      <c r="J521" s="20" t="s">
        <v>25</v>
      </c>
      <c r="K521" s="20" t="s">
        <v>597</v>
      </c>
    </row>
    <row r="522" spans="1:11" ht="30" customHeight="1" x14ac:dyDescent="0.25">
      <c r="A522" s="20" t="s">
        <v>407</v>
      </c>
      <c r="B522" s="20" t="s">
        <v>408</v>
      </c>
      <c r="C522" s="20" t="s">
        <v>654</v>
      </c>
      <c r="D522" s="20" t="s">
        <v>655</v>
      </c>
      <c r="E522" s="20" t="s">
        <v>595</v>
      </c>
      <c r="F522" s="20" t="s">
        <v>1152</v>
      </c>
      <c r="G522" s="20" t="s">
        <v>71</v>
      </c>
      <c r="H522" s="20" t="s">
        <v>78</v>
      </c>
      <c r="I522" s="20" t="s">
        <v>72</v>
      </c>
      <c r="J522" s="20" t="s">
        <v>25</v>
      </c>
      <c r="K522" s="20" t="s">
        <v>597</v>
      </c>
    </row>
    <row r="523" spans="1:11" ht="30" customHeight="1" x14ac:dyDescent="0.25">
      <c r="A523" s="20" t="s">
        <v>407</v>
      </c>
      <c r="B523" s="20" t="s">
        <v>408</v>
      </c>
      <c r="C523" s="20" t="s">
        <v>858</v>
      </c>
      <c r="D523" s="20" t="s">
        <v>859</v>
      </c>
      <c r="E523" s="20" t="s">
        <v>860</v>
      </c>
      <c r="F523" s="20" t="s">
        <v>1153</v>
      </c>
      <c r="G523" s="20" t="s">
        <v>71</v>
      </c>
      <c r="H523" s="20" t="s">
        <v>71</v>
      </c>
      <c r="I523" s="20" t="s">
        <v>72</v>
      </c>
      <c r="J523" s="20" t="s">
        <v>25</v>
      </c>
      <c r="K523" s="20" t="s">
        <v>597</v>
      </c>
    </row>
    <row r="524" spans="1:11" ht="30" customHeight="1" x14ac:dyDescent="0.25">
      <c r="A524" s="20" t="s">
        <v>407</v>
      </c>
      <c r="B524" s="20" t="s">
        <v>408</v>
      </c>
      <c r="C524" s="20" t="s">
        <v>605</v>
      </c>
      <c r="D524" s="20" t="s">
        <v>606</v>
      </c>
      <c r="E524" s="20" t="s">
        <v>607</v>
      </c>
      <c r="F524" s="20" t="s">
        <v>1154</v>
      </c>
      <c r="G524" s="20" t="s">
        <v>71</v>
      </c>
      <c r="H524" s="20" t="s">
        <v>78</v>
      </c>
      <c r="I524" s="20" t="s">
        <v>72</v>
      </c>
      <c r="J524" s="20" t="s">
        <v>25</v>
      </c>
      <c r="K524" s="20" t="s">
        <v>597</v>
      </c>
    </row>
    <row r="525" spans="1:11" ht="30" customHeight="1" x14ac:dyDescent="0.25">
      <c r="A525" s="20" t="s">
        <v>407</v>
      </c>
      <c r="B525" s="20" t="s">
        <v>408</v>
      </c>
      <c r="C525" s="20" t="s">
        <v>609</v>
      </c>
      <c r="D525" s="20" t="s">
        <v>610</v>
      </c>
      <c r="E525" s="20" t="s">
        <v>595</v>
      </c>
      <c r="F525" s="20" t="s">
        <v>1155</v>
      </c>
      <c r="G525" s="20" t="s">
        <v>71</v>
      </c>
      <c r="H525" s="20" t="s">
        <v>71</v>
      </c>
      <c r="I525" s="20" t="s">
        <v>72</v>
      </c>
      <c r="J525" s="20" t="s">
        <v>25</v>
      </c>
      <c r="K525" s="20" t="s">
        <v>597</v>
      </c>
    </row>
    <row r="526" spans="1:11" ht="30" customHeight="1" x14ac:dyDescent="0.25">
      <c r="A526" s="20" t="s">
        <v>411</v>
      </c>
      <c r="B526" s="20" t="s">
        <v>412</v>
      </c>
      <c r="C526" s="20" t="s">
        <v>594</v>
      </c>
      <c r="D526" s="20" t="s">
        <v>595</v>
      </c>
      <c r="E526" s="20" t="s">
        <v>595</v>
      </c>
      <c r="F526" s="20" t="s">
        <v>1156</v>
      </c>
      <c r="G526" s="20" t="s">
        <v>71</v>
      </c>
      <c r="H526" s="20" t="s">
        <v>71</v>
      </c>
      <c r="I526" s="20" t="s">
        <v>72</v>
      </c>
      <c r="J526" s="20" t="s">
        <v>25</v>
      </c>
      <c r="K526" s="20" t="s">
        <v>597</v>
      </c>
    </row>
    <row r="527" spans="1:11" ht="30" customHeight="1" x14ac:dyDescent="0.25">
      <c r="A527" s="20" t="s">
        <v>411</v>
      </c>
      <c r="B527" s="20" t="s">
        <v>412</v>
      </c>
      <c r="C527" s="20" t="s">
        <v>962</v>
      </c>
      <c r="D527" s="20" t="s">
        <v>963</v>
      </c>
      <c r="E527" s="20" t="s">
        <v>860</v>
      </c>
      <c r="F527" s="20" t="s">
        <v>1157</v>
      </c>
      <c r="G527" s="20" t="s">
        <v>71</v>
      </c>
      <c r="H527" s="20" t="s">
        <v>71</v>
      </c>
      <c r="I527" s="20" t="s">
        <v>72</v>
      </c>
      <c r="J527" s="20" t="s">
        <v>25</v>
      </c>
      <c r="K527" s="20" t="s">
        <v>597</v>
      </c>
    </row>
    <row r="528" spans="1:11" ht="30" customHeight="1" x14ac:dyDescent="0.25">
      <c r="A528" s="20" t="s">
        <v>411</v>
      </c>
      <c r="B528" s="20" t="s">
        <v>412</v>
      </c>
      <c r="C528" s="20" t="s">
        <v>654</v>
      </c>
      <c r="D528" s="20" t="s">
        <v>655</v>
      </c>
      <c r="E528" s="20" t="s">
        <v>595</v>
      </c>
      <c r="F528" s="20" t="s">
        <v>1158</v>
      </c>
      <c r="G528" s="20" t="s">
        <v>71</v>
      </c>
      <c r="H528" s="20" t="s">
        <v>78</v>
      </c>
      <c r="I528" s="20" t="s">
        <v>72</v>
      </c>
      <c r="J528" s="20" t="s">
        <v>25</v>
      </c>
      <c r="K528" s="20" t="s">
        <v>597</v>
      </c>
    </row>
    <row r="529" spans="1:11" ht="30" customHeight="1" x14ac:dyDescent="0.25">
      <c r="A529" s="20" t="s">
        <v>411</v>
      </c>
      <c r="B529" s="20" t="s">
        <v>412</v>
      </c>
      <c r="C529" s="20" t="s">
        <v>858</v>
      </c>
      <c r="D529" s="20" t="s">
        <v>859</v>
      </c>
      <c r="E529" s="20" t="s">
        <v>860</v>
      </c>
      <c r="F529" s="20" t="s">
        <v>1159</v>
      </c>
      <c r="G529" s="20" t="s">
        <v>71</v>
      </c>
      <c r="H529" s="20" t="s">
        <v>71</v>
      </c>
      <c r="I529" s="20" t="s">
        <v>72</v>
      </c>
      <c r="J529" s="20" t="s">
        <v>25</v>
      </c>
      <c r="K529" s="20" t="s">
        <v>597</v>
      </c>
    </row>
    <row r="530" spans="1:11" ht="30" customHeight="1" x14ac:dyDescent="0.25">
      <c r="A530" s="20" t="s">
        <v>411</v>
      </c>
      <c r="B530" s="20" t="s">
        <v>412</v>
      </c>
      <c r="C530" s="20" t="s">
        <v>605</v>
      </c>
      <c r="D530" s="20" t="s">
        <v>606</v>
      </c>
      <c r="E530" s="20" t="s">
        <v>607</v>
      </c>
      <c r="F530" s="20" t="s">
        <v>1160</v>
      </c>
      <c r="G530" s="20" t="s">
        <v>71</v>
      </c>
      <c r="H530" s="20" t="s">
        <v>78</v>
      </c>
      <c r="I530" s="20" t="s">
        <v>72</v>
      </c>
      <c r="J530" s="20" t="s">
        <v>25</v>
      </c>
      <c r="K530" s="20" t="s">
        <v>597</v>
      </c>
    </row>
    <row r="531" spans="1:11" ht="30" customHeight="1" x14ac:dyDescent="0.25">
      <c r="A531" s="20" t="s">
        <v>411</v>
      </c>
      <c r="B531" s="20" t="s">
        <v>412</v>
      </c>
      <c r="C531" s="20" t="s">
        <v>609</v>
      </c>
      <c r="D531" s="20" t="s">
        <v>610</v>
      </c>
      <c r="E531" s="20" t="s">
        <v>595</v>
      </c>
      <c r="F531" s="20" t="s">
        <v>1161</v>
      </c>
      <c r="G531" s="20" t="s">
        <v>71</v>
      </c>
      <c r="H531" s="20" t="s">
        <v>71</v>
      </c>
      <c r="I531" s="20" t="s">
        <v>72</v>
      </c>
      <c r="J531" s="20" t="s">
        <v>25</v>
      </c>
      <c r="K531" s="20" t="s">
        <v>597</v>
      </c>
    </row>
    <row r="532" spans="1:11" ht="30" customHeight="1" x14ac:dyDescent="0.25">
      <c r="A532" s="20" t="s">
        <v>415</v>
      </c>
      <c r="B532" s="20" t="s">
        <v>416</v>
      </c>
      <c r="C532" s="20" t="s">
        <v>594</v>
      </c>
      <c r="D532" s="20" t="s">
        <v>595</v>
      </c>
      <c r="E532" s="20" t="s">
        <v>595</v>
      </c>
      <c r="F532" s="20" t="s">
        <v>1162</v>
      </c>
      <c r="G532" s="20" t="s">
        <v>71</v>
      </c>
      <c r="H532" s="20" t="s">
        <v>71</v>
      </c>
      <c r="I532" s="20" t="s">
        <v>72</v>
      </c>
      <c r="J532" s="20" t="s">
        <v>25</v>
      </c>
      <c r="K532" s="20" t="s">
        <v>597</v>
      </c>
    </row>
    <row r="533" spans="1:11" ht="30" customHeight="1" x14ac:dyDescent="0.25">
      <c r="A533" s="20" t="s">
        <v>415</v>
      </c>
      <c r="B533" s="20" t="s">
        <v>416</v>
      </c>
      <c r="C533" s="20" t="s">
        <v>962</v>
      </c>
      <c r="D533" s="20" t="s">
        <v>963</v>
      </c>
      <c r="E533" s="20" t="s">
        <v>860</v>
      </c>
      <c r="F533" s="20" t="s">
        <v>1163</v>
      </c>
      <c r="G533" s="20" t="s">
        <v>71</v>
      </c>
      <c r="H533" s="20" t="s">
        <v>71</v>
      </c>
      <c r="I533" s="20" t="s">
        <v>72</v>
      </c>
      <c r="J533" s="20" t="s">
        <v>25</v>
      </c>
      <c r="K533" s="20" t="s">
        <v>597</v>
      </c>
    </row>
    <row r="534" spans="1:11" ht="30" customHeight="1" x14ac:dyDescent="0.25">
      <c r="A534" s="20" t="s">
        <v>415</v>
      </c>
      <c r="B534" s="20" t="s">
        <v>416</v>
      </c>
      <c r="C534" s="20" t="s">
        <v>654</v>
      </c>
      <c r="D534" s="20" t="s">
        <v>655</v>
      </c>
      <c r="E534" s="20" t="s">
        <v>595</v>
      </c>
      <c r="F534" s="20" t="s">
        <v>1164</v>
      </c>
      <c r="G534" s="20" t="s">
        <v>71</v>
      </c>
      <c r="H534" s="20" t="s">
        <v>78</v>
      </c>
      <c r="I534" s="20" t="s">
        <v>72</v>
      </c>
      <c r="J534" s="20" t="s">
        <v>25</v>
      </c>
      <c r="K534" s="20" t="s">
        <v>597</v>
      </c>
    </row>
    <row r="535" spans="1:11" ht="30" customHeight="1" x14ac:dyDescent="0.25">
      <c r="A535" s="20" t="s">
        <v>415</v>
      </c>
      <c r="B535" s="20" t="s">
        <v>416</v>
      </c>
      <c r="C535" s="20" t="s">
        <v>858</v>
      </c>
      <c r="D535" s="20" t="s">
        <v>859</v>
      </c>
      <c r="E535" s="20" t="s">
        <v>860</v>
      </c>
      <c r="F535" s="20" t="s">
        <v>1165</v>
      </c>
      <c r="G535" s="20" t="s">
        <v>71</v>
      </c>
      <c r="H535" s="20" t="s">
        <v>71</v>
      </c>
      <c r="I535" s="20" t="s">
        <v>72</v>
      </c>
      <c r="J535" s="20" t="s">
        <v>25</v>
      </c>
      <c r="K535" s="20" t="s">
        <v>597</v>
      </c>
    </row>
    <row r="536" spans="1:11" ht="30" customHeight="1" x14ac:dyDescent="0.25">
      <c r="A536" s="20" t="s">
        <v>415</v>
      </c>
      <c r="B536" s="20" t="s">
        <v>416</v>
      </c>
      <c r="C536" s="20" t="s">
        <v>605</v>
      </c>
      <c r="D536" s="20" t="s">
        <v>606</v>
      </c>
      <c r="E536" s="20" t="s">
        <v>607</v>
      </c>
      <c r="F536" s="20" t="s">
        <v>1166</v>
      </c>
      <c r="G536" s="20" t="s">
        <v>71</v>
      </c>
      <c r="H536" s="20" t="s">
        <v>78</v>
      </c>
      <c r="I536" s="20" t="s">
        <v>72</v>
      </c>
      <c r="J536" s="20" t="s">
        <v>25</v>
      </c>
      <c r="K536" s="20" t="s">
        <v>597</v>
      </c>
    </row>
    <row r="537" spans="1:11" ht="30" customHeight="1" x14ac:dyDescent="0.25">
      <c r="A537" s="20" t="s">
        <v>415</v>
      </c>
      <c r="B537" s="20" t="s">
        <v>416</v>
      </c>
      <c r="C537" s="20" t="s">
        <v>609</v>
      </c>
      <c r="D537" s="20" t="s">
        <v>610</v>
      </c>
      <c r="E537" s="20" t="s">
        <v>595</v>
      </c>
      <c r="F537" s="20" t="s">
        <v>1167</v>
      </c>
      <c r="G537" s="20" t="s">
        <v>71</v>
      </c>
      <c r="H537" s="20" t="s">
        <v>71</v>
      </c>
      <c r="I537" s="20" t="s">
        <v>72</v>
      </c>
      <c r="J537" s="20" t="s">
        <v>25</v>
      </c>
      <c r="K537" s="20" t="s">
        <v>597</v>
      </c>
    </row>
    <row r="538" spans="1:11" ht="30" customHeight="1" x14ac:dyDescent="0.25">
      <c r="A538" s="20" t="s">
        <v>418</v>
      </c>
      <c r="B538" s="20" t="s">
        <v>419</v>
      </c>
      <c r="C538" s="20" t="s">
        <v>594</v>
      </c>
      <c r="D538" s="20" t="s">
        <v>595</v>
      </c>
      <c r="E538" s="20" t="s">
        <v>595</v>
      </c>
      <c r="F538" s="20" t="s">
        <v>1168</v>
      </c>
      <c r="G538" s="20" t="s">
        <v>78</v>
      </c>
      <c r="H538" s="20" t="s">
        <v>71</v>
      </c>
      <c r="I538" s="20" t="s">
        <v>72</v>
      </c>
      <c r="J538" s="20" t="s">
        <v>25</v>
      </c>
      <c r="K538" s="20" t="s">
        <v>597</v>
      </c>
    </row>
    <row r="539" spans="1:11" ht="30" customHeight="1" x14ac:dyDescent="0.25">
      <c r="A539" s="20" t="s">
        <v>418</v>
      </c>
      <c r="B539" s="20" t="s">
        <v>419</v>
      </c>
      <c r="C539" s="20" t="s">
        <v>962</v>
      </c>
      <c r="D539" s="20" t="s">
        <v>963</v>
      </c>
      <c r="E539" s="20" t="s">
        <v>860</v>
      </c>
      <c r="F539" s="20" t="s">
        <v>1169</v>
      </c>
      <c r="G539" s="20" t="s">
        <v>78</v>
      </c>
      <c r="H539" s="20" t="s">
        <v>71</v>
      </c>
      <c r="I539" s="20" t="s">
        <v>72</v>
      </c>
      <c r="J539" s="20" t="s">
        <v>25</v>
      </c>
      <c r="K539" s="20" t="s">
        <v>597</v>
      </c>
    </row>
    <row r="540" spans="1:11" ht="30" customHeight="1" x14ac:dyDescent="0.25">
      <c r="A540" s="20" t="s">
        <v>418</v>
      </c>
      <c r="B540" s="20" t="s">
        <v>419</v>
      </c>
      <c r="C540" s="20" t="s">
        <v>654</v>
      </c>
      <c r="D540" s="20" t="s">
        <v>655</v>
      </c>
      <c r="E540" s="20" t="s">
        <v>595</v>
      </c>
      <c r="F540" s="20" t="s">
        <v>1170</v>
      </c>
      <c r="G540" s="20" t="s">
        <v>78</v>
      </c>
      <c r="H540" s="20" t="s">
        <v>78</v>
      </c>
      <c r="I540" s="20" t="s">
        <v>72</v>
      </c>
      <c r="J540" s="20" t="s">
        <v>25</v>
      </c>
      <c r="K540" s="20" t="s">
        <v>597</v>
      </c>
    </row>
    <row r="541" spans="1:11" ht="30" customHeight="1" x14ac:dyDescent="0.25">
      <c r="A541" s="20" t="s">
        <v>418</v>
      </c>
      <c r="B541" s="20" t="s">
        <v>419</v>
      </c>
      <c r="C541" s="20" t="s">
        <v>858</v>
      </c>
      <c r="D541" s="20" t="s">
        <v>859</v>
      </c>
      <c r="E541" s="20" t="s">
        <v>860</v>
      </c>
      <c r="F541" s="20" t="s">
        <v>1171</v>
      </c>
      <c r="G541" s="20" t="s">
        <v>78</v>
      </c>
      <c r="H541" s="20" t="s">
        <v>71</v>
      </c>
      <c r="I541" s="20" t="s">
        <v>72</v>
      </c>
      <c r="J541" s="20" t="s">
        <v>25</v>
      </c>
      <c r="K541" s="20" t="s">
        <v>597</v>
      </c>
    </row>
    <row r="542" spans="1:11" ht="30" customHeight="1" x14ac:dyDescent="0.25">
      <c r="A542" s="20" t="s">
        <v>418</v>
      </c>
      <c r="B542" s="20" t="s">
        <v>419</v>
      </c>
      <c r="C542" s="20" t="s">
        <v>605</v>
      </c>
      <c r="D542" s="20" t="s">
        <v>606</v>
      </c>
      <c r="E542" s="20" t="s">
        <v>607</v>
      </c>
      <c r="F542" s="20" t="s">
        <v>1172</v>
      </c>
      <c r="G542" s="20" t="s">
        <v>78</v>
      </c>
      <c r="H542" s="20" t="s">
        <v>78</v>
      </c>
      <c r="I542" s="20" t="s">
        <v>72</v>
      </c>
      <c r="J542" s="20" t="s">
        <v>25</v>
      </c>
      <c r="K542" s="20" t="s">
        <v>597</v>
      </c>
    </row>
    <row r="543" spans="1:11" ht="30" customHeight="1" x14ac:dyDescent="0.25">
      <c r="A543" s="20" t="s">
        <v>418</v>
      </c>
      <c r="B543" s="20" t="s">
        <v>419</v>
      </c>
      <c r="C543" s="20" t="s">
        <v>609</v>
      </c>
      <c r="D543" s="20" t="s">
        <v>610</v>
      </c>
      <c r="E543" s="20" t="s">
        <v>595</v>
      </c>
      <c r="F543" s="20" t="s">
        <v>1173</v>
      </c>
      <c r="G543" s="20" t="s">
        <v>78</v>
      </c>
      <c r="H543" s="20" t="s">
        <v>71</v>
      </c>
      <c r="I543" s="20" t="s">
        <v>72</v>
      </c>
      <c r="J543" s="20" t="s">
        <v>25</v>
      </c>
      <c r="K543" s="20" t="s">
        <v>597</v>
      </c>
    </row>
    <row r="544" spans="1:11" ht="30" customHeight="1" x14ac:dyDescent="0.25">
      <c r="A544" s="20" t="s">
        <v>422</v>
      </c>
      <c r="B544" s="20" t="s">
        <v>423</v>
      </c>
      <c r="C544" s="20" t="s">
        <v>594</v>
      </c>
      <c r="D544" s="20" t="s">
        <v>595</v>
      </c>
      <c r="E544" s="20" t="s">
        <v>595</v>
      </c>
      <c r="F544" s="20" t="s">
        <v>1174</v>
      </c>
      <c r="G544" s="20" t="s">
        <v>71</v>
      </c>
      <c r="H544" s="20" t="s">
        <v>71</v>
      </c>
      <c r="I544" s="20" t="s">
        <v>72</v>
      </c>
      <c r="J544" s="20" t="s">
        <v>25</v>
      </c>
      <c r="K544" s="20" t="s">
        <v>597</v>
      </c>
    </row>
    <row r="545" spans="1:11" ht="30" customHeight="1" x14ac:dyDescent="0.25">
      <c r="A545" s="20" t="s">
        <v>422</v>
      </c>
      <c r="B545" s="20" t="s">
        <v>423</v>
      </c>
      <c r="C545" s="20" t="s">
        <v>962</v>
      </c>
      <c r="D545" s="20" t="s">
        <v>963</v>
      </c>
      <c r="E545" s="20" t="s">
        <v>860</v>
      </c>
      <c r="F545" s="20" t="s">
        <v>1175</v>
      </c>
      <c r="G545" s="20" t="s">
        <v>71</v>
      </c>
      <c r="H545" s="20" t="s">
        <v>71</v>
      </c>
      <c r="I545" s="20" t="s">
        <v>72</v>
      </c>
      <c r="J545" s="20" t="s">
        <v>25</v>
      </c>
      <c r="K545" s="20" t="s">
        <v>597</v>
      </c>
    </row>
    <row r="546" spans="1:11" ht="30" customHeight="1" x14ac:dyDescent="0.25">
      <c r="A546" s="20" t="s">
        <v>422</v>
      </c>
      <c r="B546" s="20" t="s">
        <v>423</v>
      </c>
      <c r="C546" s="20" t="s">
        <v>654</v>
      </c>
      <c r="D546" s="20" t="s">
        <v>655</v>
      </c>
      <c r="E546" s="20" t="s">
        <v>595</v>
      </c>
      <c r="F546" s="20" t="s">
        <v>1176</v>
      </c>
      <c r="G546" s="20" t="s">
        <v>71</v>
      </c>
      <c r="H546" s="20" t="s">
        <v>78</v>
      </c>
      <c r="I546" s="20" t="s">
        <v>72</v>
      </c>
      <c r="J546" s="20" t="s">
        <v>25</v>
      </c>
      <c r="K546" s="20" t="s">
        <v>597</v>
      </c>
    </row>
    <row r="547" spans="1:11" ht="30" customHeight="1" x14ac:dyDescent="0.25">
      <c r="A547" s="20" t="s">
        <v>422</v>
      </c>
      <c r="B547" s="20" t="s">
        <v>423</v>
      </c>
      <c r="C547" s="20" t="s">
        <v>858</v>
      </c>
      <c r="D547" s="20" t="s">
        <v>859</v>
      </c>
      <c r="E547" s="20" t="s">
        <v>860</v>
      </c>
      <c r="F547" s="20" t="s">
        <v>1177</v>
      </c>
      <c r="G547" s="20" t="s">
        <v>71</v>
      </c>
      <c r="H547" s="20" t="s">
        <v>71</v>
      </c>
      <c r="I547" s="20" t="s">
        <v>72</v>
      </c>
      <c r="J547" s="20" t="s">
        <v>25</v>
      </c>
      <c r="K547" s="20" t="s">
        <v>597</v>
      </c>
    </row>
    <row r="548" spans="1:11" ht="30" customHeight="1" x14ac:dyDescent="0.25">
      <c r="A548" s="20" t="s">
        <v>422</v>
      </c>
      <c r="B548" s="20" t="s">
        <v>423</v>
      </c>
      <c r="C548" s="20" t="s">
        <v>605</v>
      </c>
      <c r="D548" s="20" t="s">
        <v>606</v>
      </c>
      <c r="E548" s="20" t="s">
        <v>607</v>
      </c>
      <c r="F548" s="20" t="s">
        <v>1178</v>
      </c>
      <c r="G548" s="20" t="s">
        <v>71</v>
      </c>
      <c r="H548" s="20" t="s">
        <v>78</v>
      </c>
      <c r="I548" s="20" t="s">
        <v>72</v>
      </c>
      <c r="J548" s="20" t="s">
        <v>25</v>
      </c>
      <c r="K548" s="20" t="s">
        <v>597</v>
      </c>
    </row>
    <row r="549" spans="1:11" ht="30" customHeight="1" x14ac:dyDescent="0.25">
      <c r="A549" s="20" t="s">
        <v>422</v>
      </c>
      <c r="B549" s="20" t="s">
        <v>423</v>
      </c>
      <c r="C549" s="20" t="s">
        <v>609</v>
      </c>
      <c r="D549" s="20" t="s">
        <v>610</v>
      </c>
      <c r="E549" s="20" t="s">
        <v>595</v>
      </c>
      <c r="F549" s="20" t="s">
        <v>1179</v>
      </c>
      <c r="G549" s="20" t="s">
        <v>71</v>
      </c>
      <c r="H549" s="20" t="s">
        <v>71</v>
      </c>
      <c r="I549" s="20" t="s">
        <v>72</v>
      </c>
      <c r="J549" s="20" t="s">
        <v>25</v>
      </c>
      <c r="K549" s="20" t="s">
        <v>597</v>
      </c>
    </row>
    <row r="550" spans="1:11" ht="30" customHeight="1" x14ac:dyDescent="0.25">
      <c r="A550" s="20" t="s">
        <v>425</v>
      </c>
      <c r="B550" s="20" t="s">
        <v>426</v>
      </c>
      <c r="C550" s="20" t="s">
        <v>594</v>
      </c>
      <c r="D550" s="20" t="s">
        <v>595</v>
      </c>
      <c r="E550" s="20" t="s">
        <v>595</v>
      </c>
      <c r="F550" s="20" t="s">
        <v>1180</v>
      </c>
      <c r="G550" s="20" t="s">
        <v>94</v>
      </c>
      <c r="H550" s="20" t="s">
        <v>71</v>
      </c>
      <c r="I550" s="20" t="s">
        <v>72</v>
      </c>
      <c r="J550" s="20" t="s">
        <v>25</v>
      </c>
      <c r="K550" s="20" t="s">
        <v>597</v>
      </c>
    </row>
    <row r="551" spans="1:11" ht="30" customHeight="1" x14ac:dyDescent="0.25">
      <c r="A551" s="20" t="s">
        <v>425</v>
      </c>
      <c r="B551" s="20" t="s">
        <v>426</v>
      </c>
      <c r="C551" s="20" t="s">
        <v>962</v>
      </c>
      <c r="D551" s="20" t="s">
        <v>963</v>
      </c>
      <c r="E551" s="20" t="s">
        <v>860</v>
      </c>
      <c r="F551" s="20" t="s">
        <v>1181</v>
      </c>
      <c r="G551" s="20" t="s">
        <v>94</v>
      </c>
      <c r="H551" s="20" t="s">
        <v>71</v>
      </c>
      <c r="I551" s="20" t="s">
        <v>72</v>
      </c>
      <c r="J551" s="20" t="s">
        <v>25</v>
      </c>
      <c r="K551" s="20" t="s">
        <v>597</v>
      </c>
    </row>
    <row r="552" spans="1:11" ht="30" customHeight="1" x14ac:dyDescent="0.25">
      <c r="A552" s="20" t="s">
        <v>425</v>
      </c>
      <c r="B552" s="20" t="s">
        <v>426</v>
      </c>
      <c r="C552" s="20" t="s">
        <v>654</v>
      </c>
      <c r="D552" s="20" t="s">
        <v>655</v>
      </c>
      <c r="E552" s="20" t="s">
        <v>595</v>
      </c>
      <c r="F552" s="20" t="s">
        <v>1182</v>
      </c>
      <c r="G552" s="20" t="s">
        <v>94</v>
      </c>
      <c r="H552" s="20" t="s">
        <v>78</v>
      </c>
      <c r="I552" s="20" t="s">
        <v>72</v>
      </c>
      <c r="J552" s="20" t="s">
        <v>25</v>
      </c>
      <c r="K552" s="20" t="s">
        <v>597</v>
      </c>
    </row>
    <row r="553" spans="1:11" ht="30" customHeight="1" x14ac:dyDescent="0.25">
      <c r="A553" s="20" t="s">
        <v>425</v>
      </c>
      <c r="B553" s="20" t="s">
        <v>426</v>
      </c>
      <c r="C553" s="20" t="s">
        <v>858</v>
      </c>
      <c r="D553" s="20" t="s">
        <v>859</v>
      </c>
      <c r="E553" s="20" t="s">
        <v>860</v>
      </c>
      <c r="F553" s="20" t="s">
        <v>1183</v>
      </c>
      <c r="G553" s="20" t="s">
        <v>94</v>
      </c>
      <c r="H553" s="20" t="s">
        <v>71</v>
      </c>
      <c r="I553" s="20" t="s">
        <v>72</v>
      </c>
      <c r="J553" s="20" t="s">
        <v>25</v>
      </c>
      <c r="K553" s="20" t="s">
        <v>597</v>
      </c>
    </row>
    <row r="554" spans="1:11" ht="30" customHeight="1" x14ac:dyDescent="0.25">
      <c r="A554" s="20" t="s">
        <v>425</v>
      </c>
      <c r="B554" s="20" t="s">
        <v>426</v>
      </c>
      <c r="C554" s="20" t="s">
        <v>605</v>
      </c>
      <c r="D554" s="20" t="s">
        <v>606</v>
      </c>
      <c r="E554" s="20" t="s">
        <v>607</v>
      </c>
      <c r="F554" s="20" t="s">
        <v>1184</v>
      </c>
      <c r="G554" s="20" t="s">
        <v>94</v>
      </c>
      <c r="H554" s="20" t="s">
        <v>78</v>
      </c>
      <c r="I554" s="20" t="s">
        <v>72</v>
      </c>
      <c r="J554" s="20" t="s">
        <v>25</v>
      </c>
      <c r="K554" s="20" t="s">
        <v>597</v>
      </c>
    </row>
    <row r="555" spans="1:11" ht="30" customHeight="1" x14ac:dyDescent="0.25">
      <c r="A555" s="20" t="s">
        <v>425</v>
      </c>
      <c r="B555" s="20" t="s">
        <v>426</v>
      </c>
      <c r="C555" s="20" t="s">
        <v>609</v>
      </c>
      <c r="D555" s="20" t="s">
        <v>610</v>
      </c>
      <c r="E555" s="20" t="s">
        <v>595</v>
      </c>
      <c r="F555" s="20" t="s">
        <v>1185</v>
      </c>
      <c r="G555" s="20" t="s">
        <v>94</v>
      </c>
      <c r="H555" s="20" t="s">
        <v>71</v>
      </c>
      <c r="I555" s="20" t="s">
        <v>72</v>
      </c>
      <c r="J555" s="20" t="s">
        <v>25</v>
      </c>
      <c r="K555" s="20" t="s">
        <v>597</v>
      </c>
    </row>
    <row r="556" spans="1:11" ht="30" customHeight="1" x14ac:dyDescent="0.25">
      <c r="A556" s="20" t="s">
        <v>429</v>
      </c>
      <c r="B556" s="20" t="s">
        <v>430</v>
      </c>
      <c r="C556" s="20" t="s">
        <v>594</v>
      </c>
      <c r="D556" s="20" t="s">
        <v>595</v>
      </c>
      <c r="E556" s="20" t="s">
        <v>595</v>
      </c>
      <c r="F556" s="20" t="s">
        <v>1186</v>
      </c>
      <c r="G556" s="20" t="s">
        <v>71</v>
      </c>
      <c r="H556" s="20" t="s">
        <v>71</v>
      </c>
      <c r="I556" s="20" t="s">
        <v>72</v>
      </c>
      <c r="J556" s="20" t="s">
        <v>25</v>
      </c>
      <c r="K556" s="20" t="s">
        <v>597</v>
      </c>
    </row>
    <row r="557" spans="1:11" ht="30" customHeight="1" x14ac:dyDescent="0.25">
      <c r="A557" s="20" t="s">
        <v>429</v>
      </c>
      <c r="B557" s="20" t="s">
        <v>430</v>
      </c>
      <c r="C557" s="20" t="s">
        <v>962</v>
      </c>
      <c r="D557" s="20" t="s">
        <v>963</v>
      </c>
      <c r="E557" s="20" t="s">
        <v>860</v>
      </c>
      <c r="F557" s="20" t="s">
        <v>1187</v>
      </c>
      <c r="G557" s="20" t="s">
        <v>71</v>
      </c>
      <c r="H557" s="20" t="s">
        <v>71</v>
      </c>
      <c r="I557" s="20" t="s">
        <v>72</v>
      </c>
      <c r="J557" s="20" t="s">
        <v>25</v>
      </c>
      <c r="K557" s="20" t="s">
        <v>597</v>
      </c>
    </row>
    <row r="558" spans="1:11" ht="30" customHeight="1" x14ac:dyDescent="0.25">
      <c r="A558" s="20" t="s">
        <v>429</v>
      </c>
      <c r="B558" s="20" t="s">
        <v>430</v>
      </c>
      <c r="C558" s="20" t="s">
        <v>654</v>
      </c>
      <c r="D558" s="20" t="s">
        <v>655</v>
      </c>
      <c r="E558" s="20" t="s">
        <v>595</v>
      </c>
      <c r="F558" s="20" t="s">
        <v>1188</v>
      </c>
      <c r="G558" s="20" t="s">
        <v>71</v>
      </c>
      <c r="H558" s="20" t="s">
        <v>78</v>
      </c>
      <c r="I558" s="20" t="s">
        <v>72</v>
      </c>
      <c r="J558" s="20" t="s">
        <v>25</v>
      </c>
      <c r="K558" s="20" t="s">
        <v>597</v>
      </c>
    </row>
    <row r="559" spans="1:11" ht="30" customHeight="1" x14ac:dyDescent="0.25">
      <c r="A559" s="20" t="s">
        <v>429</v>
      </c>
      <c r="B559" s="20" t="s">
        <v>430</v>
      </c>
      <c r="C559" s="20" t="s">
        <v>858</v>
      </c>
      <c r="D559" s="20" t="s">
        <v>859</v>
      </c>
      <c r="E559" s="20" t="s">
        <v>860</v>
      </c>
      <c r="F559" s="20" t="s">
        <v>1189</v>
      </c>
      <c r="G559" s="20" t="s">
        <v>71</v>
      </c>
      <c r="H559" s="20" t="s">
        <v>71</v>
      </c>
      <c r="I559" s="20" t="s">
        <v>72</v>
      </c>
      <c r="J559" s="20" t="s">
        <v>25</v>
      </c>
      <c r="K559" s="20" t="s">
        <v>597</v>
      </c>
    </row>
    <row r="560" spans="1:11" ht="30" customHeight="1" x14ac:dyDescent="0.25">
      <c r="A560" s="20" t="s">
        <v>429</v>
      </c>
      <c r="B560" s="20" t="s">
        <v>430</v>
      </c>
      <c r="C560" s="20" t="s">
        <v>605</v>
      </c>
      <c r="D560" s="20" t="s">
        <v>606</v>
      </c>
      <c r="E560" s="20" t="s">
        <v>607</v>
      </c>
      <c r="F560" s="20" t="s">
        <v>1190</v>
      </c>
      <c r="G560" s="20" t="s">
        <v>71</v>
      </c>
      <c r="H560" s="20" t="s">
        <v>78</v>
      </c>
      <c r="I560" s="20" t="s">
        <v>72</v>
      </c>
      <c r="J560" s="20" t="s">
        <v>25</v>
      </c>
      <c r="K560" s="20" t="s">
        <v>597</v>
      </c>
    </row>
    <row r="561" spans="1:11" ht="30" customHeight="1" x14ac:dyDescent="0.25">
      <c r="A561" s="20" t="s">
        <v>429</v>
      </c>
      <c r="B561" s="20" t="s">
        <v>430</v>
      </c>
      <c r="C561" s="20" t="s">
        <v>609</v>
      </c>
      <c r="D561" s="20" t="s">
        <v>610</v>
      </c>
      <c r="E561" s="20" t="s">
        <v>595</v>
      </c>
      <c r="F561" s="20" t="s">
        <v>1191</v>
      </c>
      <c r="G561" s="20" t="s">
        <v>71</v>
      </c>
      <c r="H561" s="20" t="s">
        <v>71</v>
      </c>
      <c r="I561" s="20" t="s">
        <v>72</v>
      </c>
      <c r="J561" s="20" t="s">
        <v>25</v>
      </c>
      <c r="K561" s="20" t="s">
        <v>597</v>
      </c>
    </row>
    <row r="562" spans="1:11" ht="30" customHeight="1" x14ac:dyDescent="0.25">
      <c r="A562" s="20" t="s">
        <v>433</v>
      </c>
      <c r="B562" s="20" t="s">
        <v>434</v>
      </c>
      <c r="C562" s="20" t="s">
        <v>594</v>
      </c>
      <c r="D562" s="20" t="s">
        <v>595</v>
      </c>
      <c r="E562" s="20" t="s">
        <v>595</v>
      </c>
      <c r="F562" s="20" t="s">
        <v>1192</v>
      </c>
      <c r="G562" s="20" t="s">
        <v>78</v>
      </c>
      <c r="H562" s="20" t="s">
        <v>71</v>
      </c>
      <c r="I562" s="20" t="s">
        <v>72</v>
      </c>
      <c r="J562" s="20" t="s">
        <v>25</v>
      </c>
      <c r="K562" s="20" t="s">
        <v>597</v>
      </c>
    </row>
    <row r="563" spans="1:11" ht="30" customHeight="1" x14ac:dyDescent="0.25">
      <c r="A563" s="20" t="s">
        <v>433</v>
      </c>
      <c r="B563" s="20" t="s">
        <v>434</v>
      </c>
      <c r="C563" s="20" t="s">
        <v>962</v>
      </c>
      <c r="D563" s="20" t="s">
        <v>963</v>
      </c>
      <c r="E563" s="20" t="s">
        <v>860</v>
      </c>
      <c r="F563" s="20" t="s">
        <v>1193</v>
      </c>
      <c r="G563" s="20" t="s">
        <v>78</v>
      </c>
      <c r="H563" s="20" t="s">
        <v>71</v>
      </c>
      <c r="I563" s="20" t="s">
        <v>72</v>
      </c>
      <c r="J563" s="20" t="s">
        <v>25</v>
      </c>
      <c r="K563" s="20" t="s">
        <v>597</v>
      </c>
    </row>
    <row r="564" spans="1:11" ht="30" customHeight="1" x14ac:dyDescent="0.25">
      <c r="A564" s="20" t="s">
        <v>433</v>
      </c>
      <c r="B564" s="20" t="s">
        <v>434</v>
      </c>
      <c r="C564" s="20" t="s">
        <v>654</v>
      </c>
      <c r="D564" s="20" t="s">
        <v>655</v>
      </c>
      <c r="E564" s="20" t="s">
        <v>595</v>
      </c>
      <c r="F564" s="20" t="s">
        <v>1194</v>
      </c>
      <c r="G564" s="20" t="s">
        <v>78</v>
      </c>
      <c r="H564" s="20" t="s">
        <v>78</v>
      </c>
      <c r="I564" s="20" t="s">
        <v>72</v>
      </c>
      <c r="J564" s="20" t="s">
        <v>25</v>
      </c>
      <c r="K564" s="20" t="s">
        <v>597</v>
      </c>
    </row>
    <row r="565" spans="1:11" ht="30" customHeight="1" x14ac:dyDescent="0.25">
      <c r="A565" s="20" t="s">
        <v>433</v>
      </c>
      <c r="B565" s="20" t="s">
        <v>434</v>
      </c>
      <c r="C565" s="20" t="s">
        <v>858</v>
      </c>
      <c r="D565" s="20" t="s">
        <v>859</v>
      </c>
      <c r="E565" s="20" t="s">
        <v>860</v>
      </c>
      <c r="F565" s="20" t="s">
        <v>1195</v>
      </c>
      <c r="G565" s="20" t="s">
        <v>78</v>
      </c>
      <c r="H565" s="20" t="s">
        <v>71</v>
      </c>
      <c r="I565" s="20" t="s">
        <v>72</v>
      </c>
      <c r="J565" s="20" t="s">
        <v>25</v>
      </c>
      <c r="K565" s="20" t="s">
        <v>597</v>
      </c>
    </row>
    <row r="566" spans="1:11" ht="30" customHeight="1" x14ac:dyDescent="0.25">
      <c r="A566" s="20" t="s">
        <v>433</v>
      </c>
      <c r="B566" s="20" t="s">
        <v>434</v>
      </c>
      <c r="C566" s="20" t="s">
        <v>605</v>
      </c>
      <c r="D566" s="20" t="s">
        <v>606</v>
      </c>
      <c r="E566" s="20" t="s">
        <v>607</v>
      </c>
      <c r="F566" s="20" t="s">
        <v>1196</v>
      </c>
      <c r="G566" s="20" t="s">
        <v>78</v>
      </c>
      <c r="H566" s="20" t="s">
        <v>78</v>
      </c>
      <c r="I566" s="20" t="s">
        <v>72</v>
      </c>
      <c r="J566" s="20" t="s">
        <v>25</v>
      </c>
      <c r="K566" s="20" t="s">
        <v>597</v>
      </c>
    </row>
    <row r="567" spans="1:11" ht="30" customHeight="1" x14ac:dyDescent="0.25">
      <c r="A567" s="20" t="s">
        <v>433</v>
      </c>
      <c r="B567" s="20" t="s">
        <v>434</v>
      </c>
      <c r="C567" s="20" t="s">
        <v>609</v>
      </c>
      <c r="D567" s="20" t="s">
        <v>610</v>
      </c>
      <c r="E567" s="20" t="s">
        <v>595</v>
      </c>
      <c r="F567" s="20" t="s">
        <v>1197</v>
      </c>
      <c r="G567" s="20" t="s">
        <v>78</v>
      </c>
      <c r="H567" s="20" t="s">
        <v>71</v>
      </c>
      <c r="I567" s="20" t="s">
        <v>72</v>
      </c>
      <c r="J567" s="20" t="s">
        <v>25</v>
      </c>
      <c r="K567" s="20" t="s">
        <v>597</v>
      </c>
    </row>
    <row r="568" spans="1:11" ht="30" customHeight="1" x14ac:dyDescent="0.25">
      <c r="A568" s="20" t="s">
        <v>437</v>
      </c>
      <c r="B568" s="20" t="s">
        <v>438</v>
      </c>
      <c r="C568" s="20" t="s">
        <v>594</v>
      </c>
      <c r="D568" s="20" t="s">
        <v>595</v>
      </c>
      <c r="E568" s="20" t="s">
        <v>595</v>
      </c>
      <c r="F568" s="20" t="s">
        <v>1198</v>
      </c>
      <c r="G568" s="20" t="s">
        <v>71</v>
      </c>
      <c r="H568" s="20" t="s">
        <v>71</v>
      </c>
      <c r="I568" s="20" t="s">
        <v>72</v>
      </c>
      <c r="J568" s="20" t="s">
        <v>25</v>
      </c>
      <c r="K568" s="20" t="s">
        <v>597</v>
      </c>
    </row>
    <row r="569" spans="1:11" ht="30" customHeight="1" x14ac:dyDescent="0.25">
      <c r="A569" s="20" t="s">
        <v>437</v>
      </c>
      <c r="B569" s="20" t="s">
        <v>438</v>
      </c>
      <c r="C569" s="20" t="s">
        <v>962</v>
      </c>
      <c r="D569" s="20" t="s">
        <v>963</v>
      </c>
      <c r="E569" s="20" t="s">
        <v>860</v>
      </c>
      <c r="F569" s="20" t="s">
        <v>1199</v>
      </c>
      <c r="G569" s="20" t="s">
        <v>71</v>
      </c>
      <c r="H569" s="20" t="s">
        <v>71</v>
      </c>
      <c r="I569" s="20" t="s">
        <v>72</v>
      </c>
      <c r="J569" s="20" t="s">
        <v>25</v>
      </c>
      <c r="K569" s="20" t="s">
        <v>597</v>
      </c>
    </row>
    <row r="570" spans="1:11" ht="30" customHeight="1" x14ac:dyDescent="0.25">
      <c r="A570" s="20" t="s">
        <v>437</v>
      </c>
      <c r="B570" s="20" t="s">
        <v>438</v>
      </c>
      <c r="C570" s="20" t="s">
        <v>654</v>
      </c>
      <c r="D570" s="20" t="s">
        <v>655</v>
      </c>
      <c r="E570" s="20" t="s">
        <v>595</v>
      </c>
      <c r="F570" s="20" t="s">
        <v>1200</v>
      </c>
      <c r="G570" s="20" t="s">
        <v>71</v>
      </c>
      <c r="H570" s="20" t="s">
        <v>78</v>
      </c>
      <c r="I570" s="20" t="s">
        <v>72</v>
      </c>
      <c r="J570" s="20" t="s">
        <v>25</v>
      </c>
      <c r="K570" s="20" t="s">
        <v>597</v>
      </c>
    </row>
    <row r="571" spans="1:11" ht="30" customHeight="1" x14ac:dyDescent="0.25">
      <c r="A571" s="20" t="s">
        <v>437</v>
      </c>
      <c r="B571" s="20" t="s">
        <v>438</v>
      </c>
      <c r="C571" s="20" t="s">
        <v>858</v>
      </c>
      <c r="D571" s="20" t="s">
        <v>859</v>
      </c>
      <c r="E571" s="20" t="s">
        <v>860</v>
      </c>
      <c r="F571" s="20" t="s">
        <v>1201</v>
      </c>
      <c r="G571" s="20" t="s">
        <v>71</v>
      </c>
      <c r="H571" s="20" t="s">
        <v>71</v>
      </c>
      <c r="I571" s="20" t="s">
        <v>72</v>
      </c>
      <c r="J571" s="20" t="s">
        <v>25</v>
      </c>
      <c r="K571" s="20" t="s">
        <v>597</v>
      </c>
    </row>
    <row r="572" spans="1:11" ht="30" customHeight="1" x14ac:dyDescent="0.25">
      <c r="A572" s="20" t="s">
        <v>437</v>
      </c>
      <c r="B572" s="20" t="s">
        <v>438</v>
      </c>
      <c r="C572" s="20" t="s">
        <v>605</v>
      </c>
      <c r="D572" s="20" t="s">
        <v>606</v>
      </c>
      <c r="E572" s="20" t="s">
        <v>607</v>
      </c>
      <c r="F572" s="20" t="s">
        <v>1202</v>
      </c>
      <c r="G572" s="20" t="s">
        <v>71</v>
      </c>
      <c r="H572" s="20" t="s">
        <v>78</v>
      </c>
      <c r="I572" s="20" t="s">
        <v>72</v>
      </c>
      <c r="J572" s="20" t="s">
        <v>25</v>
      </c>
      <c r="K572" s="20" t="s">
        <v>597</v>
      </c>
    </row>
    <row r="573" spans="1:11" ht="30" customHeight="1" x14ac:dyDescent="0.25">
      <c r="A573" s="20" t="s">
        <v>437</v>
      </c>
      <c r="B573" s="20" t="s">
        <v>438</v>
      </c>
      <c r="C573" s="20" t="s">
        <v>609</v>
      </c>
      <c r="D573" s="20" t="s">
        <v>610</v>
      </c>
      <c r="E573" s="20" t="s">
        <v>595</v>
      </c>
      <c r="F573" s="20" t="s">
        <v>1203</v>
      </c>
      <c r="G573" s="20" t="s">
        <v>71</v>
      </c>
      <c r="H573" s="20" t="s">
        <v>71</v>
      </c>
      <c r="I573" s="20" t="s">
        <v>72</v>
      </c>
      <c r="J573" s="20" t="s">
        <v>25</v>
      </c>
      <c r="K573" s="20" t="s">
        <v>597</v>
      </c>
    </row>
    <row r="574" spans="1:11" ht="30" customHeight="1" x14ac:dyDescent="0.25">
      <c r="A574" s="20" t="s">
        <v>440</v>
      </c>
      <c r="B574" s="20" t="s">
        <v>441</v>
      </c>
      <c r="C574" s="20" t="s">
        <v>594</v>
      </c>
      <c r="D574" s="20" t="s">
        <v>595</v>
      </c>
      <c r="E574" s="20" t="s">
        <v>595</v>
      </c>
      <c r="F574" s="20" t="s">
        <v>1204</v>
      </c>
      <c r="G574" s="20" t="s">
        <v>78</v>
      </c>
      <c r="H574" s="20" t="s">
        <v>71</v>
      </c>
      <c r="I574" s="20" t="s">
        <v>72</v>
      </c>
      <c r="J574" s="20" t="s">
        <v>25</v>
      </c>
      <c r="K574" s="20" t="s">
        <v>597</v>
      </c>
    </row>
    <row r="575" spans="1:11" ht="30" customHeight="1" x14ac:dyDescent="0.25">
      <c r="A575" s="20" t="s">
        <v>440</v>
      </c>
      <c r="B575" s="20" t="s">
        <v>441</v>
      </c>
      <c r="C575" s="20" t="s">
        <v>962</v>
      </c>
      <c r="D575" s="20" t="s">
        <v>963</v>
      </c>
      <c r="E575" s="20" t="s">
        <v>860</v>
      </c>
      <c r="F575" s="20" t="s">
        <v>1205</v>
      </c>
      <c r="G575" s="20" t="s">
        <v>78</v>
      </c>
      <c r="H575" s="20" t="s">
        <v>71</v>
      </c>
      <c r="I575" s="20" t="s">
        <v>72</v>
      </c>
      <c r="J575" s="20" t="s">
        <v>25</v>
      </c>
      <c r="K575" s="20" t="s">
        <v>597</v>
      </c>
    </row>
    <row r="576" spans="1:11" ht="30" customHeight="1" x14ac:dyDescent="0.25">
      <c r="A576" s="20" t="s">
        <v>440</v>
      </c>
      <c r="B576" s="20" t="s">
        <v>441</v>
      </c>
      <c r="C576" s="20" t="s">
        <v>654</v>
      </c>
      <c r="D576" s="20" t="s">
        <v>655</v>
      </c>
      <c r="E576" s="20" t="s">
        <v>595</v>
      </c>
      <c r="F576" s="20" t="s">
        <v>1206</v>
      </c>
      <c r="G576" s="20" t="s">
        <v>78</v>
      </c>
      <c r="H576" s="20" t="s">
        <v>78</v>
      </c>
      <c r="I576" s="20" t="s">
        <v>72</v>
      </c>
      <c r="J576" s="20" t="s">
        <v>25</v>
      </c>
      <c r="K576" s="20" t="s">
        <v>597</v>
      </c>
    </row>
    <row r="577" spans="1:11" ht="30" customHeight="1" x14ac:dyDescent="0.25">
      <c r="A577" s="20" t="s">
        <v>440</v>
      </c>
      <c r="B577" s="20" t="s">
        <v>441</v>
      </c>
      <c r="C577" s="20" t="s">
        <v>858</v>
      </c>
      <c r="D577" s="20" t="s">
        <v>859</v>
      </c>
      <c r="E577" s="20" t="s">
        <v>860</v>
      </c>
      <c r="F577" s="20" t="s">
        <v>1207</v>
      </c>
      <c r="G577" s="20" t="s">
        <v>78</v>
      </c>
      <c r="H577" s="20" t="s">
        <v>71</v>
      </c>
      <c r="I577" s="20" t="s">
        <v>72</v>
      </c>
      <c r="J577" s="20" t="s">
        <v>25</v>
      </c>
      <c r="K577" s="20" t="s">
        <v>597</v>
      </c>
    </row>
    <row r="578" spans="1:11" ht="30" customHeight="1" x14ac:dyDescent="0.25">
      <c r="A578" s="20" t="s">
        <v>440</v>
      </c>
      <c r="B578" s="20" t="s">
        <v>441</v>
      </c>
      <c r="C578" s="20" t="s">
        <v>605</v>
      </c>
      <c r="D578" s="20" t="s">
        <v>606</v>
      </c>
      <c r="E578" s="20" t="s">
        <v>607</v>
      </c>
      <c r="F578" s="20" t="s">
        <v>1208</v>
      </c>
      <c r="G578" s="20" t="s">
        <v>78</v>
      </c>
      <c r="H578" s="20" t="s">
        <v>78</v>
      </c>
      <c r="I578" s="20" t="s">
        <v>72</v>
      </c>
      <c r="J578" s="20" t="s">
        <v>25</v>
      </c>
      <c r="K578" s="20" t="s">
        <v>597</v>
      </c>
    </row>
    <row r="579" spans="1:11" ht="30" customHeight="1" x14ac:dyDescent="0.25">
      <c r="A579" s="20" t="s">
        <v>440</v>
      </c>
      <c r="B579" s="20" t="s">
        <v>441</v>
      </c>
      <c r="C579" s="20" t="s">
        <v>609</v>
      </c>
      <c r="D579" s="20" t="s">
        <v>610</v>
      </c>
      <c r="E579" s="20" t="s">
        <v>595</v>
      </c>
      <c r="F579" s="20" t="s">
        <v>1209</v>
      </c>
      <c r="G579" s="20" t="s">
        <v>78</v>
      </c>
      <c r="H579" s="20" t="s">
        <v>71</v>
      </c>
      <c r="I579" s="20" t="s">
        <v>72</v>
      </c>
      <c r="J579" s="20" t="s">
        <v>25</v>
      </c>
      <c r="K579" s="20" t="s">
        <v>597</v>
      </c>
    </row>
    <row r="580" spans="1:11" ht="30" customHeight="1" x14ac:dyDescent="0.25">
      <c r="A580" s="20" t="s">
        <v>444</v>
      </c>
      <c r="B580" s="20" t="s">
        <v>445</v>
      </c>
      <c r="C580" s="20" t="s">
        <v>594</v>
      </c>
      <c r="D580" s="20" t="s">
        <v>595</v>
      </c>
      <c r="E580" s="20" t="s">
        <v>595</v>
      </c>
      <c r="F580" s="20" t="s">
        <v>1210</v>
      </c>
      <c r="G580" s="20" t="s">
        <v>78</v>
      </c>
      <c r="H580" s="20" t="s">
        <v>71</v>
      </c>
      <c r="I580" s="20" t="s">
        <v>72</v>
      </c>
      <c r="J580" s="20" t="s">
        <v>25</v>
      </c>
      <c r="K580" s="20" t="s">
        <v>597</v>
      </c>
    </row>
    <row r="581" spans="1:11" ht="30" customHeight="1" x14ac:dyDescent="0.25">
      <c r="A581" s="20" t="s">
        <v>444</v>
      </c>
      <c r="B581" s="20" t="s">
        <v>445</v>
      </c>
      <c r="C581" s="20" t="s">
        <v>962</v>
      </c>
      <c r="D581" s="20" t="s">
        <v>963</v>
      </c>
      <c r="E581" s="20" t="s">
        <v>860</v>
      </c>
      <c r="F581" s="20" t="s">
        <v>1211</v>
      </c>
      <c r="G581" s="20" t="s">
        <v>78</v>
      </c>
      <c r="H581" s="20" t="s">
        <v>71</v>
      </c>
      <c r="I581" s="20" t="s">
        <v>72</v>
      </c>
      <c r="J581" s="20" t="s">
        <v>25</v>
      </c>
      <c r="K581" s="20" t="s">
        <v>597</v>
      </c>
    </row>
    <row r="582" spans="1:11" ht="30" customHeight="1" x14ac:dyDescent="0.25">
      <c r="A582" s="20" t="s">
        <v>444</v>
      </c>
      <c r="B582" s="20" t="s">
        <v>445</v>
      </c>
      <c r="C582" s="20" t="s">
        <v>654</v>
      </c>
      <c r="D582" s="20" t="s">
        <v>655</v>
      </c>
      <c r="E582" s="20" t="s">
        <v>595</v>
      </c>
      <c r="F582" s="20" t="s">
        <v>1212</v>
      </c>
      <c r="G582" s="20" t="s">
        <v>78</v>
      </c>
      <c r="H582" s="20" t="s">
        <v>78</v>
      </c>
      <c r="I582" s="20" t="s">
        <v>72</v>
      </c>
      <c r="J582" s="20" t="s">
        <v>25</v>
      </c>
      <c r="K582" s="20" t="s">
        <v>597</v>
      </c>
    </row>
    <row r="583" spans="1:11" ht="30" customHeight="1" x14ac:dyDescent="0.25">
      <c r="A583" s="20" t="s">
        <v>444</v>
      </c>
      <c r="B583" s="20" t="s">
        <v>445</v>
      </c>
      <c r="C583" s="20" t="s">
        <v>858</v>
      </c>
      <c r="D583" s="20" t="s">
        <v>859</v>
      </c>
      <c r="E583" s="20" t="s">
        <v>860</v>
      </c>
      <c r="F583" s="20" t="s">
        <v>1213</v>
      </c>
      <c r="G583" s="20" t="s">
        <v>78</v>
      </c>
      <c r="H583" s="20" t="s">
        <v>71</v>
      </c>
      <c r="I583" s="20" t="s">
        <v>72</v>
      </c>
      <c r="J583" s="20" t="s">
        <v>25</v>
      </c>
      <c r="K583" s="20" t="s">
        <v>597</v>
      </c>
    </row>
    <row r="584" spans="1:11" ht="30" customHeight="1" x14ac:dyDescent="0.25">
      <c r="A584" s="20" t="s">
        <v>444</v>
      </c>
      <c r="B584" s="20" t="s">
        <v>445</v>
      </c>
      <c r="C584" s="20" t="s">
        <v>605</v>
      </c>
      <c r="D584" s="20" t="s">
        <v>606</v>
      </c>
      <c r="E584" s="20" t="s">
        <v>607</v>
      </c>
      <c r="F584" s="20" t="s">
        <v>1214</v>
      </c>
      <c r="G584" s="20" t="s">
        <v>78</v>
      </c>
      <c r="H584" s="20" t="s">
        <v>78</v>
      </c>
      <c r="I584" s="20" t="s">
        <v>72</v>
      </c>
      <c r="J584" s="20" t="s">
        <v>25</v>
      </c>
      <c r="K584" s="20" t="s">
        <v>597</v>
      </c>
    </row>
    <row r="585" spans="1:11" ht="30" customHeight="1" x14ac:dyDescent="0.25">
      <c r="A585" s="20" t="s">
        <v>444</v>
      </c>
      <c r="B585" s="20" t="s">
        <v>445</v>
      </c>
      <c r="C585" s="20" t="s">
        <v>609</v>
      </c>
      <c r="D585" s="20" t="s">
        <v>610</v>
      </c>
      <c r="E585" s="20" t="s">
        <v>595</v>
      </c>
      <c r="F585" s="20" t="s">
        <v>1215</v>
      </c>
      <c r="G585" s="20" t="s">
        <v>78</v>
      </c>
      <c r="H585" s="20" t="s">
        <v>71</v>
      </c>
      <c r="I585" s="20" t="s">
        <v>72</v>
      </c>
      <c r="J585" s="20" t="s">
        <v>25</v>
      </c>
      <c r="K585" s="20" t="s">
        <v>597</v>
      </c>
    </row>
    <row r="586" spans="1:11" ht="30" customHeight="1" x14ac:dyDescent="0.25">
      <c r="A586" s="20" t="s">
        <v>447</v>
      </c>
      <c r="B586" s="20" t="s">
        <v>448</v>
      </c>
      <c r="C586" s="20" t="s">
        <v>594</v>
      </c>
      <c r="D586" s="20" t="s">
        <v>595</v>
      </c>
      <c r="E586" s="20" t="s">
        <v>595</v>
      </c>
      <c r="F586" s="20" t="s">
        <v>1216</v>
      </c>
      <c r="G586" s="20" t="s">
        <v>78</v>
      </c>
      <c r="H586" s="20" t="s">
        <v>71</v>
      </c>
      <c r="I586" s="20" t="s">
        <v>72</v>
      </c>
      <c r="J586" s="20" t="s">
        <v>25</v>
      </c>
      <c r="K586" s="20" t="s">
        <v>597</v>
      </c>
    </row>
    <row r="587" spans="1:11" ht="30" customHeight="1" x14ac:dyDescent="0.25">
      <c r="A587" s="20" t="s">
        <v>447</v>
      </c>
      <c r="B587" s="20" t="s">
        <v>448</v>
      </c>
      <c r="C587" s="20" t="s">
        <v>962</v>
      </c>
      <c r="D587" s="20" t="s">
        <v>963</v>
      </c>
      <c r="E587" s="20" t="s">
        <v>860</v>
      </c>
      <c r="F587" s="20" t="s">
        <v>1217</v>
      </c>
      <c r="G587" s="20" t="s">
        <v>78</v>
      </c>
      <c r="H587" s="20" t="s">
        <v>71</v>
      </c>
      <c r="I587" s="20" t="s">
        <v>72</v>
      </c>
      <c r="J587" s="20" t="s">
        <v>25</v>
      </c>
      <c r="K587" s="20" t="s">
        <v>597</v>
      </c>
    </row>
    <row r="588" spans="1:11" ht="30" customHeight="1" x14ac:dyDescent="0.25">
      <c r="A588" s="20" t="s">
        <v>447</v>
      </c>
      <c r="B588" s="20" t="s">
        <v>448</v>
      </c>
      <c r="C588" s="20" t="s">
        <v>654</v>
      </c>
      <c r="D588" s="20" t="s">
        <v>655</v>
      </c>
      <c r="E588" s="20" t="s">
        <v>595</v>
      </c>
      <c r="F588" s="20" t="s">
        <v>1218</v>
      </c>
      <c r="G588" s="20" t="s">
        <v>78</v>
      </c>
      <c r="H588" s="20" t="s">
        <v>78</v>
      </c>
      <c r="I588" s="20" t="s">
        <v>72</v>
      </c>
      <c r="J588" s="20" t="s">
        <v>25</v>
      </c>
      <c r="K588" s="20" t="s">
        <v>597</v>
      </c>
    </row>
    <row r="589" spans="1:11" ht="30" customHeight="1" x14ac:dyDescent="0.25">
      <c r="A589" s="20" t="s">
        <v>447</v>
      </c>
      <c r="B589" s="20" t="s">
        <v>448</v>
      </c>
      <c r="C589" s="20" t="s">
        <v>858</v>
      </c>
      <c r="D589" s="20" t="s">
        <v>859</v>
      </c>
      <c r="E589" s="20" t="s">
        <v>860</v>
      </c>
      <c r="F589" s="20" t="s">
        <v>1219</v>
      </c>
      <c r="G589" s="20" t="s">
        <v>78</v>
      </c>
      <c r="H589" s="20" t="s">
        <v>71</v>
      </c>
      <c r="I589" s="20" t="s">
        <v>72</v>
      </c>
      <c r="J589" s="20" t="s">
        <v>25</v>
      </c>
      <c r="K589" s="20" t="s">
        <v>597</v>
      </c>
    </row>
    <row r="590" spans="1:11" ht="30" customHeight="1" x14ac:dyDescent="0.25">
      <c r="A590" s="20" t="s">
        <v>447</v>
      </c>
      <c r="B590" s="20" t="s">
        <v>448</v>
      </c>
      <c r="C590" s="20" t="s">
        <v>605</v>
      </c>
      <c r="D590" s="20" t="s">
        <v>606</v>
      </c>
      <c r="E590" s="20" t="s">
        <v>607</v>
      </c>
      <c r="F590" s="20" t="s">
        <v>1220</v>
      </c>
      <c r="G590" s="20" t="s">
        <v>78</v>
      </c>
      <c r="H590" s="20" t="s">
        <v>78</v>
      </c>
      <c r="I590" s="20" t="s">
        <v>72</v>
      </c>
      <c r="J590" s="20" t="s">
        <v>25</v>
      </c>
      <c r="K590" s="20" t="s">
        <v>597</v>
      </c>
    </row>
    <row r="591" spans="1:11" ht="30" customHeight="1" x14ac:dyDescent="0.25">
      <c r="A591" s="20" t="s">
        <v>447</v>
      </c>
      <c r="B591" s="20" t="s">
        <v>448</v>
      </c>
      <c r="C591" s="20" t="s">
        <v>609</v>
      </c>
      <c r="D591" s="20" t="s">
        <v>610</v>
      </c>
      <c r="E591" s="20" t="s">
        <v>595</v>
      </c>
      <c r="F591" s="20" t="s">
        <v>1221</v>
      </c>
      <c r="G591" s="20" t="s">
        <v>78</v>
      </c>
      <c r="H591" s="20" t="s">
        <v>71</v>
      </c>
      <c r="I591" s="20" t="s">
        <v>72</v>
      </c>
      <c r="J591" s="20" t="s">
        <v>25</v>
      </c>
      <c r="K591" s="20" t="s">
        <v>597</v>
      </c>
    </row>
    <row r="592" spans="1:11" ht="30" customHeight="1" x14ac:dyDescent="0.25">
      <c r="A592" s="20" t="s">
        <v>451</v>
      </c>
      <c r="B592" s="20" t="s">
        <v>452</v>
      </c>
      <c r="C592" s="20" t="s">
        <v>594</v>
      </c>
      <c r="D592" s="20" t="s">
        <v>595</v>
      </c>
      <c r="E592" s="20" t="s">
        <v>595</v>
      </c>
      <c r="F592" s="20" t="s">
        <v>1222</v>
      </c>
      <c r="G592" s="20" t="s">
        <v>94</v>
      </c>
      <c r="H592" s="20" t="s">
        <v>71</v>
      </c>
      <c r="I592" s="20" t="s">
        <v>72</v>
      </c>
      <c r="J592" s="20" t="s">
        <v>25</v>
      </c>
      <c r="K592" s="20" t="s">
        <v>597</v>
      </c>
    </row>
    <row r="593" spans="1:11" ht="30" customHeight="1" x14ac:dyDescent="0.25">
      <c r="A593" s="20" t="s">
        <v>451</v>
      </c>
      <c r="B593" s="20" t="s">
        <v>452</v>
      </c>
      <c r="C593" s="20" t="s">
        <v>962</v>
      </c>
      <c r="D593" s="20" t="s">
        <v>963</v>
      </c>
      <c r="E593" s="20" t="s">
        <v>860</v>
      </c>
      <c r="F593" s="20" t="s">
        <v>1223</v>
      </c>
      <c r="G593" s="20" t="s">
        <v>94</v>
      </c>
      <c r="H593" s="20" t="s">
        <v>71</v>
      </c>
      <c r="I593" s="20" t="s">
        <v>72</v>
      </c>
      <c r="J593" s="20" t="s">
        <v>25</v>
      </c>
      <c r="K593" s="20" t="s">
        <v>597</v>
      </c>
    </row>
    <row r="594" spans="1:11" ht="30" customHeight="1" x14ac:dyDescent="0.25">
      <c r="A594" s="20" t="s">
        <v>451</v>
      </c>
      <c r="B594" s="20" t="s">
        <v>452</v>
      </c>
      <c r="C594" s="20" t="s">
        <v>654</v>
      </c>
      <c r="D594" s="20" t="s">
        <v>655</v>
      </c>
      <c r="E594" s="20" t="s">
        <v>595</v>
      </c>
      <c r="F594" s="20" t="s">
        <v>1224</v>
      </c>
      <c r="G594" s="20" t="s">
        <v>94</v>
      </c>
      <c r="H594" s="20" t="s">
        <v>78</v>
      </c>
      <c r="I594" s="20" t="s">
        <v>72</v>
      </c>
      <c r="J594" s="20" t="s">
        <v>25</v>
      </c>
      <c r="K594" s="20" t="s">
        <v>597</v>
      </c>
    </row>
    <row r="595" spans="1:11" ht="30" customHeight="1" x14ac:dyDescent="0.25">
      <c r="A595" s="20" t="s">
        <v>451</v>
      </c>
      <c r="B595" s="20" t="s">
        <v>452</v>
      </c>
      <c r="C595" s="20" t="s">
        <v>858</v>
      </c>
      <c r="D595" s="20" t="s">
        <v>859</v>
      </c>
      <c r="E595" s="20" t="s">
        <v>860</v>
      </c>
      <c r="F595" s="20" t="s">
        <v>1225</v>
      </c>
      <c r="G595" s="20" t="s">
        <v>94</v>
      </c>
      <c r="H595" s="20" t="s">
        <v>71</v>
      </c>
      <c r="I595" s="20" t="s">
        <v>72</v>
      </c>
      <c r="J595" s="20" t="s">
        <v>25</v>
      </c>
      <c r="K595" s="20" t="s">
        <v>597</v>
      </c>
    </row>
    <row r="596" spans="1:11" ht="30" customHeight="1" x14ac:dyDescent="0.25">
      <c r="A596" s="20" t="s">
        <v>451</v>
      </c>
      <c r="B596" s="20" t="s">
        <v>452</v>
      </c>
      <c r="C596" s="20" t="s">
        <v>605</v>
      </c>
      <c r="D596" s="20" t="s">
        <v>606</v>
      </c>
      <c r="E596" s="20" t="s">
        <v>607</v>
      </c>
      <c r="F596" s="20" t="s">
        <v>1226</v>
      </c>
      <c r="G596" s="20" t="s">
        <v>94</v>
      </c>
      <c r="H596" s="20" t="s">
        <v>78</v>
      </c>
      <c r="I596" s="20" t="s">
        <v>72</v>
      </c>
      <c r="J596" s="20" t="s">
        <v>25</v>
      </c>
      <c r="K596" s="20" t="s">
        <v>597</v>
      </c>
    </row>
    <row r="597" spans="1:11" ht="30" customHeight="1" x14ac:dyDescent="0.25">
      <c r="A597" s="20" t="s">
        <v>451</v>
      </c>
      <c r="B597" s="20" t="s">
        <v>452</v>
      </c>
      <c r="C597" s="20" t="s">
        <v>609</v>
      </c>
      <c r="D597" s="20" t="s">
        <v>610</v>
      </c>
      <c r="E597" s="20" t="s">
        <v>595</v>
      </c>
      <c r="F597" s="20" t="s">
        <v>1227</v>
      </c>
      <c r="G597" s="20" t="s">
        <v>94</v>
      </c>
      <c r="H597" s="20" t="s">
        <v>71</v>
      </c>
      <c r="I597" s="20" t="s">
        <v>72</v>
      </c>
      <c r="J597" s="20" t="s">
        <v>25</v>
      </c>
      <c r="K597" s="20" t="s">
        <v>597</v>
      </c>
    </row>
    <row r="598" spans="1:11" ht="30" customHeight="1" x14ac:dyDescent="0.25">
      <c r="A598" s="20" t="s">
        <v>455</v>
      </c>
      <c r="B598" s="20" t="s">
        <v>456</v>
      </c>
      <c r="C598" s="20" t="s">
        <v>594</v>
      </c>
      <c r="D598" s="20" t="s">
        <v>595</v>
      </c>
      <c r="E598" s="20" t="s">
        <v>595</v>
      </c>
      <c r="F598" s="20" t="s">
        <v>1228</v>
      </c>
      <c r="G598" s="20" t="s">
        <v>94</v>
      </c>
      <c r="H598" s="20" t="s">
        <v>71</v>
      </c>
      <c r="I598" s="20" t="s">
        <v>72</v>
      </c>
      <c r="J598" s="20" t="s">
        <v>25</v>
      </c>
      <c r="K598" s="20" t="s">
        <v>597</v>
      </c>
    </row>
    <row r="599" spans="1:11" ht="30" customHeight="1" x14ac:dyDescent="0.25">
      <c r="A599" s="20" t="s">
        <v>455</v>
      </c>
      <c r="B599" s="20" t="s">
        <v>456</v>
      </c>
      <c r="C599" s="20" t="s">
        <v>962</v>
      </c>
      <c r="D599" s="20" t="s">
        <v>963</v>
      </c>
      <c r="E599" s="20" t="s">
        <v>860</v>
      </c>
      <c r="F599" s="20" t="s">
        <v>1229</v>
      </c>
      <c r="G599" s="20" t="s">
        <v>94</v>
      </c>
      <c r="H599" s="20" t="s">
        <v>71</v>
      </c>
      <c r="I599" s="20" t="s">
        <v>72</v>
      </c>
      <c r="J599" s="20" t="s">
        <v>25</v>
      </c>
      <c r="K599" s="20" t="s">
        <v>597</v>
      </c>
    </row>
    <row r="600" spans="1:11" ht="30" customHeight="1" x14ac:dyDescent="0.25">
      <c r="A600" s="20" t="s">
        <v>455</v>
      </c>
      <c r="B600" s="20" t="s">
        <v>456</v>
      </c>
      <c r="C600" s="20" t="s">
        <v>654</v>
      </c>
      <c r="D600" s="20" t="s">
        <v>655</v>
      </c>
      <c r="E600" s="20" t="s">
        <v>595</v>
      </c>
      <c r="F600" s="20" t="s">
        <v>1230</v>
      </c>
      <c r="G600" s="20" t="s">
        <v>94</v>
      </c>
      <c r="H600" s="20" t="s">
        <v>78</v>
      </c>
      <c r="I600" s="20" t="s">
        <v>72</v>
      </c>
      <c r="J600" s="20" t="s">
        <v>25</v>
      </c>
      <c r="K600" s="20" t="s">
        <v>597</v>
      </c>
    </row>
    <row r="601" spans="1:11" ht="30" customHeight="1" x14ac:dyDescent="0.25">
      <c r="A601" s="20" t="s">
        <v>455</v>
      </c>
      <c r="B601" s="20" t="s">
        <v>456</v>
      </c>
      <c r="C601" s="20" t="s">
        <v>858</v>
      </c>
      <c r="D601" s="20" t="s">
        <v>859</v>
      </c>
      <c r="E601" s="20" t="s">
        <v>860</v>
      </c>
      <c r="F601" s="20" t="s">
        <v>1231</v>
      </c>
      <c r="G601" s="20" t="s">
        <v>94</v>
      </c>
      <c r="H601" s="20" t="s">
        <v>71</v>
      </c>
      <c r="I601" s="20" t="s">
        <v>72</v>
      </c>
      <c r="J601" s="20" t="s">
        <v>25</v>
      </c>
      <c r="K601" s="20" t="s">
        <v>597</v>
      </c>
    </row>
    <row r="602" spans="1:11" ht="30" customHeight="1" x14ac:dyDescent="0.25">
      <c r="A602" s="20" t="s">
        <v>455</v>
      </c>
      <c r="B602" s="20" t="s">
        <v>456</v>
      </c>
      <c r="C602" s="20" t="s">
        <v>605</v>
      </c>
      <c r="D602" s="20" t="s">
        <v>606</v>
      </c>
      <c r="E602" s="20" t="s">
        <v>607</v>
      </c>
      <c r="F602" s="20" t="s">
        <v>1232</v>
      </c>
      <c r="G602" s="20" t="s">
        <v>94</v>
      </c>
      <c r="H602" s="20" t="s">
        <v>78</v>
      </c>
      <c r="I602" s="20" t="s">
        <v>72</v>
      </c>
      <c r="J602" s="20" t="s">
        <v>25</v>
      </c>
      <c r="K602" s="20" t="s">
        <v>597</v>
      </c>
    </row>
    <row r="603" spans="1:11" ht="30" customHeight="1" x14ac:dyDescent="0.25">
      <c r="A603" s="20" t="s">
        <v>455</v>
      </c>
      <c r="B603" s="20" t="s">
        <v>456</v>
      </c>
      <c r="C603" s="20" t="s">
        <v>609</v>
      </c>
      <c r="D603" s="20" t="s">
        <v>610</v>
      </c>
      <c r="E603" s="20" t="s">
        <v>595</v>
      </c>
      <c r="F603" s="20" t="s">
        <v>1233</v>
      </c>
      <c r="G603" s="20" t="s">
        <v>94</v>
      </c>
      <c r="H603" s="20" t="s">
        <v>71</v>
      </c>
      <c r="I603" s="20" t="s">
        <v>72</v>
      </c>
      <c r="J603" s="20" t="s">
        <v>25</v>
      </c>
      <c r="K603" s="20" t="s">
        <v>597</v>
      </c>
    </row>
    <row r="604" spans="1:11" ht="30" customHeight="1" x14ac:dyDescent="0.25">
      <c r="A604" s="20" t="s">
        <v>459</v>
      </c>
      <c r="B604" s="20" t="s">
        <v>460</v>
      </c>
      <c r="C604" s="20" t="s">
        <v>594</v>
      </c>
      <c r="D604" s="20" t="s">
        <v>595</v>
      </c>
      <c r="E604" s="20" t="s">
        <v>595</v>
      </c>
      <c r="F604" s="20" t="s">
        <v>1234</v>
      </c>
      <c r="G604" s="20" t="s">
        <v>71</v>
      </c>
      <c r="H604" s="20" t="s">
        <v>71</v>
      </c>
      <c r="I604" s="20" t="s">
        <v>72</v>
      </c>
      <c r="J604" s="20" t="s">
        <v>25</v>
      </c>
      <c r="K604" s="20" t="s">
        <v>597</v>
      </c>
    </row>
    <row r="605" spans="1:11" ht="30" customHeight="1" x14ac:dyDescent="0.25">
      <c r="A605" s="20" t="s">
        <v>459</v>
      </c>
      <c r="B605" s="20" t="s">
        <v>460</v>
      </c>
      <c r="C605" s="20" t="s">
        <v>598</v>
      </c>
      <c r="D605" s="20" t="s">
        <v>599</v>
      </c>
      <c r="E605" s="20" t="s">
        <v>595</v>
      </c>
      <c r="F605" s="20" t="s">
        <v>1235</v>
      </c>
      <c r="G605" s="20" t="s">
        <v>71</v>
      </c>
      <c r="H605" s="20" t="s">
        <v>71</v>
      </c>
      <c r="I605" s="20" t="s">
        <v>72</v>
      </c>
      <c r="J605" s="20" t="s">
        <v>25</v>
      </c>
      <c r="K605" s="20" t="s">
        <v>597</v>
      </c>
    </row>
    <row r="606" spans="1:11" ht="30" customHeight="1" x14ac:dyDescent="0.25">
      <c r="A606" s="20" t="s">
        <v>459</v>
      </c>
      <c r="B606" s="20" t="s">
        <v>460</v>
      </c>
      <c r="C606" s="20" t="s">
        <v>601</v>
      </c>
      <c r="D606" s="20" t="s">
        <v>602</v>
      </c>
      <c r="E606" s="20" t="s">
        <v>603</v>
      </c>
      <c r="F606" s="20" t="s">
        <v>1236</v>
      </c>
      <c r="G606" s="20" t="s">
        <v>71</v>
      </c>
      <c r="H606" s="20" t="s">
        <v>71</v>
      </c>
      <c r="I606" s="20" t="s">
        <v>72</v>
      </c>
      <c r="J606" s="20" t="s">
        <v>25</v>
      </c>
      <c r="K606" s="20" t="s">
        <v>597</v>
      </c>
    </row>
    <row r="607" spans="1:11" ht="30" customHeight="1" x14ac:dyDescent="0.25">
      <c r="A607" s="20" t="s">
        <v>459</v>
      </c>
      <c r="B607" s="20" t="s">
        <v>460</v>
      </c>
      <c r="C607" s="20" t="s">
        <v>605</v>
      </c>
      <c r="D607" s="20" t="s">
        <v>606</v>
      </c>
      <c r="E607" s="20" t="s">
        <v>607</v>
      </c>
      <c r="F607" s="20" t="s">
        <v>1237</v>
      </c>
      <c r="G607" s="20" t="s">
        <v>71</v>
      </c>
      <c r="H607" s="20" t="s">
        <v>78</v>
      </c>
      <c r="I607" s="20" t="s">
        <v>72</v>
      </c>
      <c r="J607" s="20" t="s">
        <v>25</v>
      </c>
      <c r="K607" s="20" t="s">
        <v>597</v>
      </c>
    </row>
    <row r="608" spans="1:11" ht="30" customHeight="1" x14ac:dyDescent="0.25">
      <c r="A608" s="20" t="s">
        <v>459</v>
      </c>
      <c r="B608" s="20" t="s">
        <v>460</v>
      </c>
      <c r="C608" s="20" t="s">
        <v>609</v>
      </c>
      <c r="D608" s="20" t="s">
        <v>610</v>
      </c>
      <c r="E608" s="20" t="s">
        <v>595</v>
      </c>
      <c r="F608" s="20" t="s">
        <v>1238</v>
      </c>
      <c r="G608" s="20" t="s">
        <v>71</v>
      </c>
      <c r="H608" s="20" t="s">
        <v>71</v>
      </c>
      <c r="I608" s="20" t="s">
        <v>72</v>
      </c>
      <c r="J608" s="20" t="s">
        <v>25</v>
      </c>
      <c r="K608" s="20" t="s">
        <v>597</v>
      </c>
    </row>
    <row r="609" spans="1:11" ht="30" customHeight="1" x14ac:dyDescent="0.25">
      <c r="A609" s="20" t="s">
        <v>463</v>
      </c>
      <c r="B609" s="20" t="s">
        <v>464</v>
      </c>
      <c r="C609" s="20" t="s">
        <v>594</v>
      </c>
      <c r="D609" s="20" t="s">
        <v>595</v>
      </c>
      <c r="E609" s="20" t="s">
        <v>595</v>
      </c>
      <c r="F609" s="20" t="s">
        <v>1239</v>
      </c>
      <c r="G609" s="20" t="s">
        <v>71</v>
      </c>
      <c r="H609" s="20" t="s">
        <v>71</v>
      </c>
      <c r="I609" s="20" t="s">
        <v>72</v>
      </c>
      <c r="J609" s="20" t="s">
        <v>25</v>
      </c>
      <c r="K609" s="20" t="s">
        <v>597</v>
      </c>
    </row>
    <row r="610" spans="1:11" ht="30" customHeight="1" x14ac:dyDescent="0.25">
      <c r="A610" s="20" t="s">
        <v>463</v>
      </c>
      <c r="B610" s="20" t="s">
        <v>464</v>
      </c>
      <c r="C610" s="20" t="s">
        <v>598</v>
      </c>
      <c r="D610" s="20" t="s">
        <v>599</v>
      </c>
      <c r="E610" s="20" t="s">
        <v>595</v>
      </c>
      <c r="F610" s="20" t="s">
        <v>1240</v>
      </c>
      <c r="G610" s="20" t="s">
        <v>71</v>
      </c>
      <c r="H610" s="20" t="s">
        <v>71</v>
      </c>
      <c r="I610" s="20" t="s">
        <v>72</v>
      </c>
      <c r="J610" s="20" t="s">
        <v>25</v>
      </c>
      <c r="K610" s="20" t="s">
        <v>597</v>
      </c>
    </row>
    <row r="611" spans="1:11" ht="30" customHeight="1" x14ac:dyDescent="0.25">
      <c r="A611" s="20" t="s">
        <v>463</v>
      </c>
      <c r="B611" s="20" t="s">
        <v>464</v>
      </c>
      <c r="C611" s="20" t="s">
        <v>601</v>
      </c>
      <c r="D611" s="20" t="s">
        <v>602</v>
      </c>
      <c r="E611" s="20" t="s">
        <v>603</v>
      </c>
      <c r="F611" s="20" t="s">
        <v>1241</v>
      </c>
      <c r="G611" s="20" t="s">
        <v>71</v>
      </c>
      <c r="H611" s="20" t="s">
        <v>71</v>
      </c>
      <c r="I611" s="20" t="s">
        <v>72</v>
      </c>
      <c r="J611" s="20" t="s">
        <v>25</v>
      </c>
      <c r="K611" s="20" t="s">
        <v>597</v>
      </c>
    </row>
    <row r="612" spans="1:11" ht="30" customHeight="1" x14ac:dyDescent="0.25">
      <c r="A612" s="20" t="s">
        <v>463</v>
      </c>
      <c r="B612" s="20" t="s">
        <v>464</v>
      </c>
      <c r="C612" s="20" t="s">
        <v>605</v>
      </c>
      <c r="D612" s="20" t="s">
        <v>606</v>
      </c>
      <c r="E612" s="20" t="s">
        <v>607</v>
      </c>
      <c r="F612" s="20" t="s">
        <v>1242</v>
      </c>
      <c r="G612" s="20" t="s">
        <v>71</v>
      </c>
      <c r="H612" s="20" t="s">
        <v>78</v>
      </c>
      <c r="I612" s="20" t="s">
        <v>72</v>
      </c>
      <c r="J612" s="20" t="s">
        <v>25</v>
      </c>
      <c r="K612" s="20" t="s">
        <v>597</v>
      </c>
    </row>
    <row r="613" spans="1:11" ht="30" customHeight="1" x14ac:dyDescent="0.25">
      <c r="A613" s="20" t="s">
        <v>463</v>
      </c>
      <c r="B613" s="20" t="s">
        <v>464</v>
      </c>
      <c r="C613" s="20" t="s">
        <v>609</v>
      </c>
      <c r="D613" s="20" t="s">
        <v>610</v>
      </c>
      <c r="E613" s="20" t="s">
        <v>595</v>
      </c>
      <c r="F613" s="20" t="s">
        <v>1243</v>
      </c>
      <c r="G613" s="20" t="s">
        <v>71</v>
      </c>
      <c r="H613" s="20" t="s">
        <v>71</v>
      </c>
      <c r="I613" s="20" t="s">
        <v>72</v>
      </c>
      <c r="J613" s="20" t="s">
        <v>25</v>
      </c>
      <c r="K613" s="20" t="s">
        <v>597</v>
      </c>
    </row>
    <row r="614" spans="1:11" ht="30" customHeight="1" x14ac:dyDescent="0.25">
      <c r="A614" s="20" t="s">
        <v>467</v>
      </c>
      <c r="B614" s="20" t="s">
        <v>468</v>
      </c>
      <c r="C614" s="20" t="s">
        <v>594</v>
      </c>
      <c r="D614" s="20" t="s">
        <v>595</v>
      </c>
      <c r="E614" s="20" t="s">
        <v>595</v>
      </c>
      <c r="F614" s="20" t="s">
        <v>1244</v>
      </c>
      <c r="G614" s="20" t="s">
        <v>71</v>
      </c>
      <c r="H614" s="20" t="s">
        <v>71</v>
      </c>
      <c r="I614" s="20" t="s">
        <v>72</v>
      </c>
      <c r="J614" s="20" t="s">
        <v>25</v>
      </c>
      <c r="K614" s="20" t="s">
        <v>597</v>
      </c>
    </row>
    <row r="615" spans="1:11" ht="30" customHeight="1" x14ac:dyDescent="0.25">
      <c r="A615" s="20" t="s">
        <v>467</v>
      </c>
      <c r="B615" s="20" t="s">
        <v>468</v>
      </c>
      <c r="C615" s="20" t="s">
        <v>598</v>
      </c>
      <c r="D615" s="20" t="s">
        <v>599</v>
      </c>
      <c r="E615" s="20" t="s">
        <v>595</v>
      </c>
      <c r="F615" s="20" t="s">
        <v>1245</v>
      </c>
      <c r="G615" s="20" t="s">
        <v>71</v>
      </c>
      <c r="H615" s="20" t="s">
        <v>71</v>
      </c>
      <c r="I615" s="20" t="s">
        <v>72</v>
      </c>
      <c r="J615" s="20" t="s">
        <v>25</v>
      </c>
      <c r="K615" s="20" t="s">
        <v>597</v>
      </c>
    </row>
    <row r="616" spans="1:11" ht="30" customHeight="1" x14ac:dyDescent="0.25">
      <c r="A616" s="20" t="s">
        <v>467</v>
      </c>
      <c r="B616" s="20" t="s">
        <v>468</v>
      </c>
      <c r="C616" s="20" t="s">
        <v>601</v>
      </c>
      <c r="D616" s="20" t="s">
        <v>602</v>
      </c>
      <c r="E616" s="20" t="s">
        <v>603</v>
      </c>
      <c r="F616" s="20" t="s">
        <v>1246</v>
      </c>
      <c r="G616" s="20" t="s">
        <v>71</v>
      </c>
      <c r="H616" s="20" t="s">
        <v>71</v>
      </c>
      <c r="I616" s="20" t="s">
        <v>72</v>
      </c>
      <c r="J616" s="20" t="s">
        <v>25</v>
      </c>
      <c r="K616" s="20" t="s">
        <v>597</v>
      </c>
    </row>
    <row r="617" spans="1:11" ht="30" customHeight="1" x14ac:dyDescent="0.25">
      <c r="A617" s="20" t="s">
        <v>467</v>
      </c>
      <c r="B617" s="20" t="s">
        <v>468</v>
      </c>
      <c r="C617" s="20" t="s">
        <v>605</v>
      </c>
      <c r="D617" s="20" t="s">
        <v>606</v>
      </c>
      <c r="E617" s="20" t="s">
        <v>607</v>
      </c>
      <c r="F617" s="20" t="s">
        <v>1247</v>
      </c>
      <c r="G617" s="20" t="s">
        <v>71</v>
      </c>
      <c r="H617" s="20" t="s">
        <v>78</v>
      </c>
      <c r="I617" s="20" t="s">
        <v>72</v>
      </c>
      <c r="J617" s="20" t="s">
        <v>25</v>
      </c>
      <c r="K617" s="20" t="s">
        <v>597</v>
      </c>
    </row>
    <row r="618" spans="1:11" ht="30" customHeight="1" x14ac:dyDescent="0.25">
      <c r="A618" s="20" t="s">
        <v>467</v>
      </c>
      <c r="B618" s="20" t="s">
        <v>468</v>
      </c>
      <c r="C618" s="20" t="s">
        <v>609</v>
      </c>
      <c r="D618" s="20" t="s">
        <v>610</v>
      </c>
      <c r="E618" s="20" t="s">
        <v>595</v>
      </c>
      <c r="F618" s="20" t="s">
        <v>1248</v>
      </c>
      <c r="G618" s="20" t="s">
        <v>71</v>
      </c>
      <c r="H618" s="20" t="s">
        <v>71</v>
      </c>
      <c r="I618" s="20" t="s">
        <v>72</v>
      </c>
      <c r="J618" s="20" t="s">
        <v>25</v>
      </c>
      <c r="K618" s="20" t="s">
        <v>597</v>
      </c>
    </row>
    <row r="619" spans="1:11" ht="30" customHeight="1" x14ac:dyDescent="0.25">
      <c r="A619" s="20" t="s">
        <v>471</v>
      </c>
      <c r="B619" s="20" t="s">
        <v>472</v>
      </c>
      <c r="C619" s="20" t="s">
        <v>594</v>
      </c>
      <c r="D619" s="20" t="s">
        <v>595</v>
      </c>
      <c r="E619" s="20" t="s">
        <v>595</v>
      </c>
      <c r="F619" s="20" t="s">
        <v>1249</v>
      </c>
      <c r="G619" s="20" t="s">
        <v>71</v>
      </c>
      <c r="H619" s="20" t="s">
        <v>71</v>
      </c>
      <c r="I619" s="20" t="s">
        <v>72</v>
      </c>
      <c r="J619" s="20" t="s">
        <v>25</v>
      </c>
      <c r="K619" s="20" t="s">
        <v>597</v>
      </c>
    </row>
    <row r="620" spans="1:11" ht="30" customHeight="1" x14ac:dyDescent="0.25">
      <c r="A620" s="20" t="s">
        <v>471</v>
      </c>
      <c r="B620" s="20" t="s">
        <v>472</v>
      </c>
      <c r="C620" s="20" t="s">
        <v>598</v>
      </c>
      <c r="D620" s="20" t="s">
        <v>599</v>
      </c>
      <c r="E620" s="20" t="s">
        <v>595</v>
      </c>
      <c r="F620" s="20" t="s">
        <v>1250</v>
      </c>
      <c r="G620" s="20" t="s">
        <v>71</v>
      </c>
      <c r="H620" s="20" t="s">
        <v>71</v>
      </c>
      <c r="I620" s="20" t="s">
        <v>72</v>
      </c>
      <c r="J620" s="20" t="s">
        <v>25</v>
      </c>
      <c r="K620" s="20" t="s">
        <v>597</v>
      </c>
    </row>
    <row r="621" spans="1:11" ht="30" customHeight="1" x14ac:dyDescent="0.25">
      <c r="A621" s="20" t="s">
        <v>471</v>
      </c>
      <c r="B621" s="20" t="s">
        <v>472</v>
      </c>
      <c r="C621" s="20" t="s">
        <v>601</v>
      </c>
      <c r="D621" s="20" t="s">
        <v>602</v>
      </c>
      <c r="E621" s="20" t="s">
        <v>603</v>
      </c>
      <c r="F621" s="20" t="s">
        <v>1251</v>
      </c>
      <c r="G621" s="20" t="s">
        <v>71</v>
      </c>
      <c r="H621" s="20" t="s">
        <v>71</v>
      </c>
      <c r="I621" s="20" t="s">
        <v>72</v>
      </c>
      <c r="J621" s="20" t="s">
        <v>25</v>
      </c>
      <c r="K621" s="20" t="s">
        <v>597</v>
      </c>
    </row>
    <row r="622" spans="1:11" ht="30" customHeight="1" x14ac:dyDescent="0.25">
      <c r="A622" s="20" t="s">
        <v>471</v>
      </c>
      <c r="B622" s="20" t="s">
        <v>472</v>
      </c>
      <c r="C622" s="20" t="s">
        <v>854</v>
      </c>
      <c r="D622" s="20" t="s">
        <v>855</v>
      </c>
      <c r="E622" s="20" t="s">
        <v>856</v>
      </c>
      <c r="F622" s="20" t="s">
        <v>1252</v>
      </c>
      <c r="G622" s="20" t="s">
        <v>71</v>
      </c>
      <c r="H622" s="20" t="s">
        <v>78</v>
      </c>
      <c r="I622" s="20" t="s">
        <v>72</v>
      </c>
      <c r="J622" s="20" t="s">
        <v>25</v>
      </c>
      <c r="K622" s="20" t="s">
        <v>597</v>
      </c>
    </row>
    <row r="623" spans="1:11" ht="30" customHeight="1" x14ac:dyDescent="0.25">
      <c r="A623" s="20" t="s">
        <v>471</v>
      </c>
      <c r="B623" s="20" t="s">
        <v>472</v>
      </c>
      <c r="C623" s="20" t="s">
        <v>605</v>
      </c>
      <c r="D623" s="20" t="s">
        <v>606</v>
      </c>
      <c r="E623" s="20" t="s">
        <v>607</v>
      </c>
      <c r="F623" s="20" t="s">
        <v>1253</v>
      </c>
      <c r="G623" s="20" t="s">
        <v>71</v>
      </c>
      <c r="H623" s="20" t="s">
        <v>78</v>
      </c>
      <c r="I623" s="20" t="s">
        <v>72</v>
      </c>
      <c r="J623" s="20" t="s">
        <v>25</v>
      </c>
      <c r="K623" s="20" t="s">
        <v>597</v>
      </c>
    </row>
    <row r="624" spans="1:11" ht="30" customHeight="1" x14ac:dyDescent="0.25">
      <c r="A624" s="20" t="s">
        <v>471</v>
      </c>
      <c r="B624" s="20" t="s">
        <v>472</v>
      </c>
      <c r="C624" s="20" t="s">
        <v>609</v>
      </c>
      <c r="D624" s="20" t="s">
        <v>610</v>
      </c>
      <c r="E624" s="20" t="s">
        <v>595</v>
      </c>
      <c r="F624" s="20" t="s">
        <v>1254</v>
      </c>
      <c r="G624" s="20" t="s">
        <v>71</v>
      </c>
      <c r="H624" s="20" t="s">
        <v>71</v>
      </c>
      <c r="I624" s="20" t="s">
        <v>72</v>
      </c>
      <c r="J624" s="20" t="s">
        <v>25</v>
      </c>
      <c r="K624" s="20" t="s">
        <v>597</v>
      </c>
    </row>
    <row r="625" spans="1:11" ht="30" customHeight="1" x14ac:dyDescent="0.25">
      <c r="A625" s="20" t="s">
        <v>476</v>
      </c>
      <c r="B625" s="20" t="s">
        <v>477</v>
      </c>
      <c r="C625" s="20" t="s">
        <v>594</v>
      </c>
      <c r="D625" s="20" t="s">
        <v>595</v>
      </c>
      <c r="E625" s="20" t="s">
        <v>595</v>
      </c>
      <c r="F625" s="20" t="s">
        <v>1255</v>
      </c>
      <c r="G625" s="20" t="s">
        <v>71</v>
      </c>
      <c r="H625" s="20" t="s">
        <v>71</v>
      </c>
      <c r="I625" s="20" t="s">
        <v>72</v>
      </c>
      <c r="J625" s="20" t="s">
        <v>25</v>
      </c>
      <c r="K625" s="20" t="s">
        <v>597</v>
      </c>
    </row>
    <row r="626" spans="1:11" ht="30" customHeight="1" x14ac:dyDescent="0.25">
      <c r="A626" s="20" t="s">
        <v>476</v>
      </c>
      <c r="B626" s="20" t="s">
        <v>477</v>
      </c>
      <c r="C626" s="20" t="s">
        <v>598</v>
      </c>
      <c r="D626" s="20" t="s">
        <v>599</v>
      </c>
      <c r="E626" s="20" t="s">
        <v>595</v>
      </c>
      <c r="F626" s="20" t="s">
        <v>1256</v>
      </c>
      <c r="G626" s="20" t="s">
        <v>71</v>
      </c>
      <c r="H626" s="20" t="s">
        <v>71</v>
      </c>
      <c r="I626" s="20" t="s">
        <v>72</v>
      </c>
      <c r="J626" s="20" t="s">
        <v>25</v>
      </c>
      <c r="K626" s="20" t="s">
        <v>597</v>
      </c>
    </row>
    <row r="627" spans="1:11" ht="30" customHeight="1" x14ac:dyDescent="0.25">
      <c r="A627" s="20" t="s">
        <v>476</v>
      </c>
      <c r="B627" s="20" t="s">
        <v>477</v>
      </c>
      <c r="C627" s="20" t="s">
        <v>601</v>
      </c>
      <c r="D627" s="20" t="s">
        <v>602</v>
      </c>
      <c r="E627" s="20" t="s">
        <v>603</v>
      </c>
      <c r="F627" s="20" t="s">
        <v>1257</v>
      </c>
      <c r="G627" s="20" t="s">
        <v>71</v>
      </c>
      <c r="H627" s="20" t="s">
        <v>71</v>
      </c>
      <c r="I627" s="20" t="s">
        <v>72</v>
      </c>
      <c r="J627" s="20" t="s">
        <v>25</v>
      </c>
      <c r="K627" s="20" t="s">
        <v>597</v>
      </c>
    </row>
    <row r="628" spans="1:11" ht="30" customHeight="1" x14ac:dyDescent="0.25">
      <c r="A628" s="20" t="s">
        <v>476</v>
      </c>
      <c r="B628" s="20" t="s">
        <v>477</v>
      </c>
      <c r="C628" s="20" t="s">
        <v>854</v>
      </c>
      <c r="D628" s="20" t="s">
        <v>855</v>
      </c>
      <c r="E628" s="20" t="s">
        <v>856</v>
      </c>
      <c r="F628" s="20" t="s">
        <v>1258</v>
      </c>
      <c r="G628" s="20" t="s">
        <v>71</v>
      </c>
      <c r="H628" s="20" t="s">
        <v>78</v>
      </c>
      <c r="I628" s="20" t="s">
        <v>72</v>
      </c>
      <c r="J628" s="20" t="s">
        <v>25</v>
      </c>
      <c r="K628" s="20" t="s">
        <v>597</v>
      </c>
    </row>
    <row r="629" spans="1:11" ht="30" customHeight="1" x14ac:dyDescent="0.25">
      <c r="A629" s="20" t="s">
        <v>476</v>
      </c>
      <c r="B629" s="20" t="s">
        <v>477</v>
      </c>
      <c r="C629" s="20" t="s">
        <v>605</v>
      </c>
      <c r="D629" s="20" t="s">
        <v>606</v>
      </c>
      <c r="E629" s="20" t="s">
        <v>607</v>
      </c>
      <c r="F629" s="20" t="s">
        <v>1259</v>
      </c>
      <c r="G629" s="20" t="s">
        <v>71</v>
      </c>
      <c r="H629" s="20" t="s">
        <v>78</v>
      </c>
      <c r="I629" s="20" t="s">
        <v>72</v>
      </c>
      <c r="J629" s="20" t="s">
        <v>25</v>
      </c>
      <c r="K629" s="20" t="s">
        <v>597</v>
      </c>
    </row>
    <row r="630" spans="1:11" ht="30" customHeight="1" x14ac:dyDescent="0.25">
      <c r="A630" s="20" t="s">
        <v>476</v>
      </c>
      <c r="B630" s="20" t="s">
        <v>477</v>
      </c>
      <c r="C630" s="20" t="s">
        <v>609</v>
      </c>
      <c r="D630" s="20" t="s">
        <v>610</v>
      </c>
      <c r="E630" s="20" t="s">
        <v>595</v>
      </c>
      <c r="F630" s="20" t="s">
        <v>1260</v>
      </c>
      <c r="G630" s="20" t="s">
        <v>71</v>
      </c>
      <c r="H630" s="20" t="s">
        <v>71</v>
      </c>
      <c r="I630" s="20" t="s">
        <v>72</v>
      </c>
      <c r="J630" s="20" t="s">
        <v>25</v>
      </c>
      <c r="K630" s="20" t="s">
        <v>597</v>
      </c>
    </row>
    <row r="631" spans="1:11" ht="30" customHeight="1" x14ac:dyDescent="0.25">
      <c r="A631" s="20" t="s">
        <v>480</v>
      </c>
      <c r="B631" s="20" t="s">
        <v>481</v>
      </c>
      <c r="C631" s="20" t="s">
        <v>594</v>
      </c>
      <c r="D631" s="20" t="s">
        <v>595</v>
      </c>
      <c r="E631" s="20" t="s">
        <v>595</v>
      </c>
      <c r="F631" s="20" t="s">
        <v>1261</v>
      </c>
      <c r="G631" s="20" t="s">
        <v>78</v>
      </c>
      <c r="H631" s="20" t="s">
        <v>71</v>
      </c>
      <c r="I631" s="20" t="s">
        <v>72</v>
      </c>
      <c r="J631" s="20" t="s">
        <v>25</v>
      </c>
      <c r="K631" s="20" t="s">
        <v>597</v>
      </c>
    </row>
    <row r="632" spans="1:11" ht="30" customHeight="1" x14ac:dyDescent="0.25">
      <c r="A632" s="20" t="s">
        <v>480</v>
      </c>
      <c r="B632" s="20" t="s">
        <v>481</v>
      </c>
      <c r="C632" s="20" t="s">
        <v>598</v>
      </c>
      <c r="D632" s="20" t="s">
        <v>599</v>
      </c>
      <c r="E632" s="20" t="s">
        <v>595</v>
      </c>
      <c r="F632" s="20" t="s">
        <v>1262</v>
      </c>
      <c r="G632" s="20" t="s">
        <v>78</v>
      </c>
      <c r="H632" s="20" t="s">
        <v>71</v>
      </c>
      <c r="I632" s="20" t="s">
        <v>72</v>
      </c>
      <c r="J632" s="20" t="s">
        <v>25</v>
      </c>
      <c r="K632" s="20" t="s">
        <v>597</v>
      </c>
    </row>
    <row r="633" spans="1:11" ht="30" customHeight="1" x14ac:dyDescent="0.25">
      <c r="A633" s="20" t="s">
        <v>480</v>
      </c>
      <c r="B633" s="20" t="s">
        <v>481</v>
      </c>
      <c r="C633" s="20" t="s">
        <v>601</v>
      </c>
      <c r="D633" s="20" t="s">
        <v>602</v>
      </c>
      <c r="E633" s="20" t="s">
        <v>603</v>
      </c>
      <c r="F633" s="20" t="s">
        <v>1263</v>
      </c>
      <c r="G633" s="20" t="s">
        <v>78</v>
      </c>
      <c r="H633" s="20" t="s">
        <v>71</v>
      </c>
      <c r="I633" s="20" t="s">
        <v>72</v>
      </c>
      <c r="J633" s="20" t="s">
        <v>25</v>
      </c>
      <c r="K633" s="20" t="s">
        <v>597</v>
      </c>
    </row>
    <row r="634" spans="1:11" ht="30" customHeight="1" x14ac:dyDescent="0.25">
      <c r="A634" s="20" t="s">
        <v>480</v>
      </c>
      <c r="B634" s="20" t="s">
        <v>481</v>
      </c>
      <c r="C634" s="20" t="s">
        <v>854</v>
      </c>
      <c r="D634" s="20" t="s">
        <v>855</v>
      </c>
      <c r="E634" s="20" t="s">
        <v>856</v>
      </c>
      <c r="F634" s="20" t="s">
        <v>1264</v>
      </c>
      <c r="G634" s="20" t="s">
        <v>78</v>
      </c>
      <c r="H634" s="20" t="s">
        <v>78</v>
      </c>
      <c r="I634" s="20" t="s">
        <v>72</v>
      </c>
      <c r="J634" s="20" t="s">
        <v>25</v>
      </c>
      <c r="K634" s="20" t="s">
        <v>597</v>
      </c>
    </row>
    <row r="635" spans="1:11" ht="30" customHeight="1" x14ac:dyDescent="0.25">
      <c r="A635" s="20" t="s">
        <v>480</v>
      </c>
      <c r="B635" s="20" t="s">
        <v>481</v>
      </c>
      <c r="C635" s="20" t="s">
        <v>605</v>
      </c>
      <c r="D635" s="20" t="s">
        <v>606</v>
      </c>
      <c r="E635" s="20" t="s">
        <v>607</v>
      </c>
      <c r="F635" s="20" t="s">
        <v>1265</v>
      </c>
      <c r="G635" s="20" t="s">
        <v>78</v>
      </c>
      <c r="H635" s="20" t="s">
        <v>78</v>
      </c>
      <c r="I635" s="20" t="s">
        <v>72</v>
      </c>
      <c r="J635" s="20" t="s">
        <v>25</v>
      </c>
      <c r="K635" s="20" t="s">
        <v>597</v>
      </c>
    </row>
    <row r="636" spans="1:11" ht="30" customHeight="1" x14ac:dyDescent="0.25">
      <c r="A636" s="20" t="s">
        <v>480</v>
      </c>
      <c r="B636" s="20" t="s">
        <v>481</v>
      </c>
      <c r="C636" s="20" t="s">
        <v>609</v>
      </c>
      <c r="D636" s="20" t="s">
        <v>610</v>
      </c>
      <c r="E636" s="20" t="s">
        <v>595</v>
      </c>
      <c r="F636" s="20" t="s">
        <v>1266</v>
      </c>
      <c r="G636" s="20" t="s">
        <v>78</v>
      </c>
      <c r="H636" s="20" t="s">
        <v>71</v>
      </c>
      <c r="I636" s="20" t="s">
        <v>72</v>
      </c>
      <c r="J636" s="20" t="s">
        <v>25</v>
      </c>
      <c r="K636" s="20" t="s">
        <v>597</v>
      </c>
    </row>
    <row r="637" spans="1:11" ht="30" customHeight="1" x14ac:dyDescent="0.25">
      <c r="A637" s="20" t="s">
        <v>484</v>
      </c>
      <c r="B637" s="20" t="s">
        <v>485</v>
      </c>
      <c r="C637" s="20" t="s">
        <v>594</v>
      </c>
      <c r="D637" s="20" t="s">
        <v>595</v>
      </c>
      <c r="E637" s="20" t="s">
        <v>595</v>
      </c>
      <c r="F637" s="20" t="s">
        <v>1267</v>
      </c>
      <c r="G637" s="20" t="s">
        <v>71</v>
      </c>
      <c r="H637" s="20" t="s">
        <v>71</v>
      </c>
      <c r="I637" s="20" t="s">
        <v>72</v>
      </c>
      <c r="J637" s="20" t="s">
        <v>25</v>
      </c>
      <c r="K637" s="20" t="s">
        <v>597</v>
      </c>
    </row>
    <row r="638" spans="1:11" ht="30" customHeight="1" x14ac:dyDescent="0.25">
      <c r="A638" s="20" t="s">
        <v>484</v>
      </c>
      <c r="B638" s="20" t="s">
        <v>485</v>
      </c>
      <c r="C638" s="20" t="s">
        <v>598</v>
      </c>
      <c r="D638" s="20" t="s">
        <v>599</v>
      </c>
      <c r="E638" s="20" t="s">
        <v>595</v>
      </c>
      <c r="F638" s="20" t="s">
        <v>1268</v>
      </c>
      <c r="G638" s="20" t="s">
        <v>71</v>
      </c>
      <c r="H638" s="20" t="s">
        <v>71</v>
      </c>
      <c r="I638" s="20" t="s">
        <v>72</v>
      </c>
      <c r="J638" s="20" t="s">
        <v>25</v>
      </c>
      <c r="K638" s="20" t="s">
        <v>597</v>
      </c>
    </row>
    <row r="639" spans="1:11" ht="30" customHeight="1" x14ac:dyDescent="0.25">
      <c r="A639" s="20" t="s">
        <v>484</v>
      </c>
      <c r="B639" s="20" t="s">
        <v>485</v>
      </c>
      <c r="C639" s="20" t="s">
        <v>601</v>
      </c>
      <c r="D639" s="20" t="s">
        <v>602</v>
      </c>
      <c r="E639" s="20" t="s">
        <v>603</v>
      </c>
      <c r="F639" s="20" t="s">
        <v>1269</v>
      </c>
      <c r="G639" s="20" t="s">
        <v>71</v>
      </c>
      <c r="H639" s="20" t="s">
        <v>71</v>
      </c>
      <c r="I639" s="20" t="s">
        <v>72</v>
      </c>
      <c r="J639" s="20" t="s">
        <v>25</v>
      </c>
      <c r="K639" s="20" t="s">
        <v>597</v>
      </c>
    </row>
    <row r="640" spans="1:11" ht="30" customHeight="1" x14ac:dyDescent="0.25">
      <c r="A640" s="20" t="s">
        <v>484</v>
      </c>
      <c r="B640" s="20" t="s">
        <v>485</v>
      </c>
      <c r="C640" s="20" t="s">
        <v>854</v>
      </c>
      <c r="D640" s="20" t="s">
        <v>855</v>
      </c>
      <c r="E640" s="20" t="s">
        <v>856</v>
      </c>
      <c r="F640" s="20" t="s">
        <v>1270</v>
      </c>
      <c r="G640" s="20" t="s">
        <v>71</v>
      </c>
      <c r="H640" s="20" t="s">
        <v>78</v>
      </c>
      <c r="I640" s="20" t="s">
        <v>72</v>
      </c>
      <c r="J640" s="20" t="s">
        <v>25</v>
      </c>
      <c r="K640" s="20" t="s">
        <v>597</v>
      </c>
    </row>
    <row r="641" spans="1:11" ht="30" customHeight="1" x14ac:dyDescent="0.25">
      <c r="A641" s="20" t="s">
        <v>484</v>
      </c>
      <c r="B641" s="20" t="s">
        <v>485</v>
      </c>
      <c r="C641" s="20" t="s">
        <v>605</v>
      </c>
      <c r="D641" s="20" t="s">
        <v>606</v>
      </c>
      <c r="E641" s="20" t="s">
        <v>607</v>
      </c>
      <c r="F641" s="20" t="s">
        <v>1271</v>
      </c>
      <c r="G641" s="20" t="s">
        <v>71</v>
      </c>
      <c r="H641" s="20" t="s">
        <v>78</v>
      </c>
      <c r="I641" s="20" t="s">
        <v>72</v>
      </c>
      <c r="J641" s="20" t="s">
        <v>25</v>
      </c>
      <c r="K641" s="20" t="s">
        <v>597</v>
      </c>
    </row>
    <row r="642" spans="1:11" ht="30" customHeight="1" x14ac:dyDescent="0.25">
      <c r="A642" s="20" t="s">
        <v>484</v>
      </c>
      <c r="B642" s="20" t="s">
        <v>485</v>
      </c>
      <c r="C642" s="20" t="s">
        <v>609</v>
      </c>
      <c r="D642" s="20" t="s">
        <v>610</v>
      </c>
      <c r="E642" s="20" t="s">
        <v>595</v>
      </c>
      <c r="F642" s="20" t="s">
        <v>1272</v>
      </c>
      <c r="G642" s="20" t="s">
        <v>71</v>
      </c>
      <c r="H642" s="20" t="s">
        <v>71</v>
      </c>
      <c r="I642" s="20" t="s">
        <v>72</v>
      </c>
      <c r="J642" s="20" t="s">
        <v>25</v>
      </c>
      <c r="K642" s="20" t="s">
        <v>597</v>
      </c>
    </row>
    <row r="643" spans="1:11" ht="30" customHeight="1" x14ac:dyDescent="0.25">
      <c r="A643" s="20" t="s">
        <v>488</v>
      </c>
      <c r="B643" s="20" t="s">
        <v>489</v>
      </c>
      <c r="C643" s="20" t="s">
        <v>594</v>
      </c>
      <c r="D643" s="20" t="s">
        <v>595</v>
      </c>
      <c r="E643" s="20" t="s">
        <v>595</v>
      </c>
      <c r="F643" s="20" t="s">
        <v>1273</v>
      </c>
      <c r="G643" s="20" t="s">
        <v>71</v>
      </c>
      <c r="H643" s="20" t="s">
        <v>71</v>
      </c>
      <c r="I643" s="20" t="s">
        <v>72</v>
      </c>
      <c r="J643" s="20" t="s">
        <v>25</v>
      </c>
      <c r="K643" s="20" t="s">
        <v>597</v>
      </c>
    </row>
    <row r="644" spans="1:11" ht="30" customHeight="1" x14ac:dyDescent="0.25">
      <c r="A644" s="20" t="s">
        <v>488</v>
      </c>
      <c r="B644" s="20" t="s">
        <v>489</v>
      </c>
      <c r="C644" s="20" t="s">
        <v>598</v>
      </c>
      <c r="D644" s="20" t="s">
        <v>599</v>
      </c>
      <c r="E644" s="20" t="s">
        <v>595</v>
      </c>
      <c r="F644" s="20" t="s">
        <v>1274</v>
      </c>
      <c r="G644" s="20" t="s">
        <v>71</v>
      </c>
      <c r="H644" s="20" t="s">
        <v>71</v>
      </c>
      <c r="I644" s="20" t="s">
        <v>72</v>
      </c>
      <c r="J644" s="20" t="s">
        <v>25</v>
      </c>
      <c r="K644" s="20" t="s">
        <v>597</v>
      </c>
    </row>
    <row r="645" spans="1:11" ht="30" customHeight="1" x14ac:dyDescent="0.25">
      <c r="A645" s="20" t="s">
        <v>488</v>
      </c>
      <c r="B645" s="20" t="s">
        <v>489</v>
      </c>
      <c r="C645" s="20" t="s">
        <v>601</v>
      </c>
      <c r="D645" s="20" t="s">
        <v>602</v>
      </c>
      <c r="E645" s="20" t="s">
        <v>603</v>
      </c>
      <c r="F645" s="20" t="s">
        <v>1275</v>
      </c>
      <c r="G645" s="20" t="s">
        <v>71</v>
      </c>
      <c r="H645" s="20" t="s">
        <v>71</v>
      </c>
      <c r="I645" s="20" t="s">
        <v>72</v>
      </c>
      <c r="J645" s="20" t="s">
        <v>25</v>
      </c>
      <c r="K645" s="20" t="s">
        <v>597</v>
      </c>
    </row>
    <row r="646" spans="1:11" ht="30" customHeight="1" x14ac:dyDescent="0.25">
      <c r="A646" s="20" t="s">
        <v>488</v>
      </c>
      <c r="B646" s="20" t="s">
        <v>489</v>
      </c>
      <c r="C646" s="20" t="s">
        <v>854</v>
      </c>
      <c r="D646" s="20" t="s">
        <v>855</v>
      </c>
      <c r="E646" s="20" t="s">
        <v>856</v>
      </c>
      <c r="F646" s="20" t="s">
        <v>1276</v>
      </c>
      <c r="G646" s="20" t="s">
        <v>71</v>
      </c>
      <c r="H646" s="20" t="s">
        <v>78</v>
      </c>
      <c r="I646" s="20" t="s">
        <v>72</v>
      </c>
      <c r="J646" s="20" t="s">
        <v>25</v>
      </c>
      <c r="K646" s="20" t="s">
        <v>597</v>
      </c>
    </row>
    <row r="647" spans="1:11" ht="30" customHeight="1" x14ac:dyDescent="0.25">
      <c r="A647" s="20" t="s">
        <v>488</v>
      </c>
      <c r="B647" s="20" t="s">
        <v>489</v>
      </c>
      <c r="C647" s="20" t="s">
        <v>605</v>
      </c>
      <c r="D647" s="20" t="s">
        <v>606</v>
      </c>
      <c r="E647" s="20" t="s">
        <v>607</v>
      </c>
      <c r="F647" s="20" t="s">
        <v>1277</v>
      </c>
      <c r="G647" s="20" t="s">
        <v>71</v>
      </c>
      <c r="H647" s="20" t="s">
        <v>78</v>
      </c>
      <c r="I647" s="20" t="s">
        <v>72</v>
      </c>
      <c r="J647" s="20" t="s">
        <v>25</v>
      </c>
      <c r="K647" s="20" t="s">
        <v>597</v>
      </c>
    </row>
    <row r="648" spans="1:11" ht="30" customHeight="1" x14ac:dyDescent="0.25">
      <c r="A648" s="20" t="s">
        <v>488</v>
      </c>
      <c r="B648" s="20" t="s">
        <v>489</v>
      </c>
      <c r="C648" s="20" t="s">
        <v>609</v>
      </c>
      <c r="D648" s="20" t="s">
        <v>610</v>
      </c>
      <c r="E648" s="20" t="s">
        <v>595</v>
      </c>
      <c r="F648" s="20" t="s">
        <v>1278</v>
      </c>
      <c r="G648" s="20" t="s">
        <v>71</v>
      </c>
      <c r="H648" s="20" t="s">
        <v>71</v>
      </c>
      <c r="I648" s="20" t="s">
        <v>72</v>
      </c>
      <c r="J648" s="20" t="s">
        <v>25</v>
      </c>
      <c r="K648" s="20" t="s">
        <v>597</v>
      </c>
    </row>
    <row r="649" spans="1:11" ht="30" customHeight="1" x14ac:dyDescent="0.25">
      <c r="A649" s="20" t="s">
        <v>492</v>
      </c>
      <c r="B649" s="20" t="s">
        <v>493</v>
      </c>
      <c r="C649" s="20" t="s">
        <v>594</v>
      </c>
      <c r="D649" s="20" t="s">
        <v>595</v>
      </c>
      <c r="E649" s="20" t="s">
        <v>595</v>
      </c>
      <c r="F649" s="20" t="s">
        <v>1279</v>
      </c>
      <c r="G649" s="20" t="s">
        <v>78</v>
      </c>
      <c r="H649" s="20" t="s">
        <v>71</v>
      </c>
      <c r="I649" s="20" t="s">
        <v>72</v>
      </c>
      <c r="J649" s="20" t="s">
        <v>25</v>
      </c>
      <c r="K649" s="20" t="s">
        <v>597</v>
      </c>
    </row>
    <row r="650" spans="1:11" ht="30" customHeight="1" x14ac:dyDescent="0.25">
      <c r="A650" s="20" t="s">
        <v>492</v>
      </c>
      <c r="B650" s="20" t="s">
        <v>493</v>
      </c>
      <c r="C650" s="20" t="s">
        <v>598</v>
      </c>
      <c r="D650" s="20" t="s">
        <v>599</v>
      </c>
      <c r="E650" s="20" t="s">
        <v>595</v>
      </c>
      <c r="F650" s="20" t="s">
        <v>1280</v>
      </c>
      <c r="G650" s="20" t="s">
        <v>78</v>
      </c>
      <c r="H650" s="20" t="s">
        <v>71</v>
      </c>
      <c r="I650" s="20" t="s">
        <v>72</v>
      </c>
      <c r="J650" s="20" t="s">
        <v>25</v>
      </c>
      <c r="K650" s="20" t="s">
        <v>597</v>
      </c>
    </row>
    <row r="651" spans="1:11" ht="30" customHeight="1" x14ac:dyDescent="0.25">
      <c r="A651" s="20" t="s">
        <v>492</v>
      </c>
      <c r="B651" s="20" t="s">
        <v>493</v>
      </c>
      <c r="C651" s="20" t="s">
        <v>601</v>
      </c>
      <c r="D651" s="20" t="s">
        <v>602</v>
      </c>
      <c r="E651" s="20" t="s">
        <v>603</v>
      </c>
      <c r="F651" s="20" t="s">
        <v>1281</v>
      </c>
      <c r="G651" s="20" t="s">
        <v>78</v>
      </c>
      <c r="H651" s="20" t="s">
        <v>71</v>
      </c>
      <c r="I651" s="20" t="s">
        <v>72</v>
      </c>
      <c r="J651" s="20" t="s">
        <v>25</v>
      </c>
      <c r="K651" s="20" t="s">
        <v>597</v>
      </c>
    </row>
    <row r="652" spans="1:11" ht="30" customHeight="1" x14ac:dyDescent="0.25">
      <c r="A652" s="20" t="s">
        <v>492</v>
      </c>
      <c r="B652" s="20" t="s">
        <v>493</v>
      </c>
      <c r="C652" s="20" t="s">
        <v>854</v>
      </c>
      <c r="D652" s="20" t="s">
        <v>855</v>
      </c>
      <c r="E652" s="20" t="s">
        <v>856</v>
      </c>
      <c r="F652" s="20" t="s">
        <v>1282</v>
      </c>
      <c r="G652" s="20" t="s">
        <v>78</v>
      </c>
      <c r="H652" s="20" t="s">
        <v>78</v>
      </c>
      <c r="I652" s="20" t="s">
        <v>72</v>
      </c>
      <c r="J652" s="20" t="s">
        <v>25</v>
      </c>
      <c r="K652" s="20" t="s">
        <v>597</v>
      </c>
    </row>
    <row r="653" spans="1:11" ht="30" customHeight="1" x14ac:dyDescent="0.25">
      <c r="A653" s="20" t="s">
        <v>492</v>
      </c>
      <c r="B653" s="20" t="s">
        <v>493</v>
      </c>
      <c r="C653" s="20" t="s">
        <v>605</v>
      </c>
      <c r="D653" s="20" t="s">
        <v>606</v>
      </c>
      <c r="E653" s="20" t="s">
        <v>607</v>
      </c>
      <c r="F653" s="20" t="s">
        <v>1283</v>
      </c>
      <c r="G653" s="20" t="s">
        <v>78</v>
      </c>
      <c r="H653" s="20" t="s">
        <v>78</v>
      </c>
      <c r="I653" s="20" t="s">
        <v>72</v>
      </c>
      <c r="J653" s="20" t="s">
        <v>25</v>
      </c>
      <c r="K653" s="20" t="s">
        <v>597</v>
      </c>
    </row>
    <row r="654" spans="1:11" ht="30" customHeight="1" x14ac:dyDescent="0.25">
      <c r="A654" s="20" t="s">
        <v>492</v>
      </c>
      <c r="B654" s="20" t="s">
        <v>493</v>
      </c>
      <c r="C654" s="20" t="s">
        <v>609</v>
      </c>
      <c r="D654" s="20" t="s">
        <v>610</v>
      </c>
      <c r="E654" s="20" t="s">
        <v>595</v>
      </c>
      <c r="F654" s="20" t="s">
        <v>1284</v>
      </c>
      <c r="G654" s="20" t="s">
        <v>78</v>
      </c>
      <c r="H654" s="20" t="s">
        <v>71</v>
      </c>
      <c r="I654" s="20" t="s">
        <v>72</v>
      </c>
      <c r="J654" s="20" t="s">
        <v>25</v>
      </c>
      <c r="K654" s="20" t="s">
        <v>597</v>
      </c>
    </row>
    <row r="655" spans="1:11" ht="30" customHeight="1" x14ac:dyDescent="0.25">
      <c r="A655" s="20" t="s">
        <v>496</v>
      </c>
      <c r="B655" s="20" t="s">
        <v>497</v>
      </c>
      <c r="C655" s="20" t="s">
        <v>598</v>
      </c>
      <c r="D655" s="20" t="s">
        <v>599</v>
      </c>
      <c r="E655" s="20" t="s">
        <v>595</v>
      </c>
      <c r="F655" s="20" t="s">
        <v>1285</v>
      </c>
      <c r="G655" s="20" t="s">
        <v>71</v>
      </c>
      <c r="H655" s="20" t="s">
        <v>71</v>
      </c>
      <c r="I655" s="20" t="s">
        <v>72</v>
      </c>
      <c r="J655" s="20" t="s">
        <v>25</v>
      </c>
      <c r="K655" s="20" t="s">
        <v>597</v>
      </c>
    </row>
    <row r="656" spans="1:11" ht="30" customHeight="1" x14ac:dyDescent="0.25">
      <c r="A656" s="20" t="s">
        <v>496</v>
      </c>
      <c r="B656" s="20" t="s">
        <v>497</v>
      </c>
      <c r="C656" s="20" t="s">
        <v>687</v>
      </c>
      <c r="D656" s="20" t="s">
        <v>688</v>
      </c>
      <c r="E656" s="20" t="s">
        <v>689</v>
      </c>
      <c r="F656" s="20" t="s">
        <v>1286</v>
      </c>
      <c r="G656" s="20" t="s">
        <v>71</v>
      </c>
      <c r="H656" s="20" t="s">
        <v>71</v>
      </c>
      <c r="I656" s="20" t="s">
        <v>72</v>
      </c>
      <c r="J656" s="20" t="s">
        <v>25</v>
      </c>
      <c r="K656" s="20" t="s">
        <v>597</v>
      </c>
    </row>
    <row r="657" spans="1:11" ht="30" customHeight="1" x14ac:dyDescent="0.25">
      <c r="A657" s="20" t="s">
        <v>496</v>
      </c>
      <c r="B657" s="20" t="s">
        <v>497</v>
      </c>
      <c r="C657" s="20" t="s">
        <v>601</v>
      </c>
      <c r="D657" s="20" t="s">
        <v>602</v>
      </c>
      <c r="E657" s="20" t="s">
        <v>603</v>
      </c>
      <c r="F657" s="20" t="s">
        <v>1287</v>
      </c>
      <c r="G657" s="20" t="s">
        <v>71</v>
      </c>
      <c r="H657" s="20" t="s">
        <v>71</v>
      </c>
      <c r="I657" s="20" t="s">
        <v>72</v>
      </c>
      <c r="J657" s="20" t="s">
        <v>25</v>
      </c>
      <c r="K657" s="20" t="s">
        <v>597</v>
      </c>
    </row>
    <row r="658" spans="1:11" ht="30" customHeight="1" x14ac:dyDescent="0.25">
      <c r="A658" s="20" t="s">
        <v>496</v>
      </c>
      <c r="B658" s="20" t="s">
        <v>497</v>
      </c>
      <c r="C658" s="20" t="s">
        <v>854</v>
      </c>
      <c r="D658" s="20" t="s">
        <v>855</v>
      </c>
      <c r="E658" s="20" t="s">
        <v>856</v>
      </c>
      <c r="F658" s="20" t="s">
        <v>1288</v>
      </c>
      <c r="G658" s="20" t="s">
        <v>71</v>
      </c>
      <c r="H658" s="20" t="s">
        <v>78</v>
      </c>
      <c r="I658" s="20" t="s">
        <v>72</v>
      </c>
      <c r="J658" s="20" t="s">
        <v>25</v>
      </c>
      <c r="K658" s="20" t="s">
        <v>597</v>
      </c>
    </row>
    <row r="659" spans="1:11" ht="30" customHeight="1" x14ac:dyDescent="0.25">
      <c r="A659" s="20" t="s">
        <v>496</v>
      </c>
      <c r="B659" s="20" t="s">
        <v>497</v>
      </c>
      <c r="C659" s="20" t="s">
        <v>605</v>
      </c>
      <c r="D659" s="20" t="s">
        <v>606</v>
      </c>
      <c r="E659" s="20" t="s">
        <v>607</v>
      </c>
      <c r="F659" s="20" t="s">
        <v>1289</v>
      </c>
      <c r="G659" s="20" t="s">
        <v>71</v>
      </c>
      <c r="H659" s="20" t="s">
        <v>78</v>
      </c>
      <c r="I659" s="20" t="s">
        <v>72</v>
      </c>
      <c r="J659" s="20" t="s">
        <v>25</v>
      </c>
      <c r="K659" s="20" t="s">
        <v>597</v>
      </c>
    </row>
    <row r="660" spans="1:11" ht="30" customHeight="1" x14ac:dyDescent="0.25">
      <c r="A660" s="20" t="s">
        <v>496</v>
      </c>
      <c r="B660" s="20" t="s">
        <v>497</v>
      </c>
      <c r="C660" s="20" t="s">
        <v>609</v>
      </c>
      <c r="D660" s="20" t="s">
        <v>610</v>
      </c>
      <c r="E660" s="20" t="s">
        <v>595</v>
      </c>
      <c r="F660" s="20" t="s">
        <v>1290</v>
      </c>
      <c r="G660" s="20" t="s">
        <v>71</v>
      </c>
      <c r="H660" s="20" t="s">
        <v>71</v>
      </c>
      <c r="I660" s="20" t="s">
        <v>72</v>
      </c>
      <c r="J660" s="20" t="s">
        <v>25</v>
      </c>
      <c r="K660" s="20" t="s">
        <v>597</v>
      </c>
    </row>
    <row r="661" spans="1:11" ht="30" customHeight="1" x14ac:dyDescent="0.25">
      <c r="A661" s="20" t="s">
        <v>502</v>
      </c>
      <c r="B661" s="20" t="s">
        <v>503</v>
      </c>
      <c r="C661" s="20" t="s">
        <v>598</v>
      </c>
      <c r="D661" s="20" t="s">
        <v>599</v>
      </c>
      <c r="E661" s="20" t="s">
        <v>595</v>
      </c>
      <c r="F661" s="20" t="s">
        <v>1291</v>
      </c>
      <c r="G661" s="20" t="s">
        <v>71</v>
      </c>
      <c r="H661" s="20" t="s">
        <v>71</v>
      </c>
      <c r="I661" s="20" t="s">
        <v>72</v>
      </c>
      <c r="J661" s="20" t="s">
        <v>25</v>
      </c>
      <c r="K661" s="20" t="s">
        <v>597</v>
      </c>
    </row>
    <row r="662" spans="1:11" ht="30" customHeight="1" x14ac:dyDescent="0.25">
      <c r="A662" s="20" t="s">
        <v>502</v>
      </c>
      <c r="B662" s="20" t="s">
        <v>503</v>
      </c>
      <c r="C662" s="20" t="s">
        <v>687</v>
      </c>
      <c r="D662" s="20" t="s">
        <v>688</v>
      </c>
      <c r="E662" s="20" t="s">
        <v>689</v>
      </c>
      <c r="F662" s="20" t="s">
        <v>1292</v>
      </c>
      <c r="G662" s="20" t="s">
        <v>71</v>
      </c>
      <c r="H662" s="20" t="s">
        <v>71</v>
      </c>
      <c r="I662" s="20" t="s">
        <v>72</v>
      </c>
      <c r="J662" s="20" t="s">
        <v>25</v>
      </c>
      <c r="K662" s="20" t="s">
        <v>597</v>
      </c>
    </row>
    <row r="663" spans="1:11" ht="30" customHeight="1" x14ac:dyDescent="0.25">
      <c r="A663" s="20" t="s">
        <v>502</v>
      </c>
      <c r="B663" s="20" t="s">
        <v>503</v>
      </c>
      <c r="C663" s="20" t="s">
        <v>601</v>
      </c>
      <c r="D663" s="20" t="s">
        <v>602</v>
      </c>
      <c r="E663" s="20" t="s">
        <v>603</v>
      </c>
      <c r="F663" s="20" t="s">
        <v>1293</v>
      </c>
      <c r="G663" s="20" t="s">
        <v>71</v>
      </c>
      <c r="H663" s="20" t="s">
        <v>71</v>
      </c>
      <c r="I663" s="20" t="s">
        <v>72</v>
      </c>
      <c r="J663" s="20" t="s">
        <v>25</v>
      </c>
      <c r="K663" s="20" t="s">
        <v>597</v>
      </c>
    </row>
    <row r="664" spans="1:11" ht="30" customHeight="1" x14ac:dyDescent="0.25">
      <c r="A664" s="20" t="s">
        <v>502</v>
      </c>
      <c r="B664" s="20" t="s">
        <v>503</v>
      </c>
      <c r="C664" s="20" t="s">
        <v>854</v>
      </c>
      <c r="D664" s="20" t="s">
        <v>855</v>
      </c>
      <c r="E664" s="20" t="s">
        <v>856</v>
      </c>
      <c r="F664" s="20" t="s">
        <v>1294</v>
      </c>
      <c r="G664" s="20" t="s">
        <v>71</v>
      </c>
      <c r="H664" s="20" t="s">
        <v>78</v>
      </c>
      <c r="I664" s="20" t="s">
        <v>72</v>
      </c>
      <c r="J664" s="20" t="s">
        <v>25</v>
      </c>
      <c r="K664" s="20" t="s">
        <v>597</v>
      </c>
    </row>
    <row r="665" spans="1:11" ht="30" customHeight="1" x14ac:dyDescent="0.25">
      <c r="A665" s="20" t="s">
        <v>502</v>
      </c>
      <c r="B665" s="20" t="s">
        <v>503</v>
      </c>
      <c r="C665" s="20" t="s">
        <v>605</v>
      </c>
      <c r="D665" s="20" t="s">
        <v>606</v>
      </c>
      <c r="E665" s="20" t="s">
        <v>607</v>
      </c>
      <c r="F665" s="20" t="s">
        <v>1295</v>
      </c>
      <c r="G665" s="20" t="s">
        <v>71</v>
      </c>
      <c r="H665" s="20" t="s">
        <v>78</v>
      </c>
      <c r="I665" s="20" t="s">
        <v>72</v>
      </c>
      <c r="J665" s="20" t="s">
        <v>25</v>
      </c>
      <c r="K665" s="20" t="s">
        <v>597</v>
      </c>
    </row>
    <row r="666" spans="1:11" ht="30" customHeight="1" x14ac:dyDescent="0.25">
      <c r="A666" s="20" t="s">
        <v>502</v>
      </c>
      <c r="B666" s="20" t="s">
        <v>503</v>
      </c>
      <c r="C666" s="20" t="s">
        <v>609</v>
      </c>
      <c r="D666" s="20" t="s">
        <v>610</v>
      </c>
      <c r="E666" s="20" t="s">
        <v>595</v>
      </c>
      <c r="F666" s="20" t="s">
        <v>1296</v>
      </c>
      <c r="G666" s="20" t="s">
        <v>71</v>
      </c>
      <c r="H666" s="20" t="s">
        <v>71</v>
      </c>
      <c r="I666" s="20" t="s">
        <v>72</v>
      </c>
      <c r="J666" s="20" t="s">
        <v>25</v>
      </c>
      <c r="K666" s="20" t="s">
        <v>597</v>
      </c>
    </row>
    <row r="667" spans="1:11" ht="30" customHeight="1" x14ac:dyDescent="0.25">
      <c r="A667" s="20" t="s">
        <v>506</v>
      </c>
      <c r="B667" s="20" t="s">
        <v>507</v>
      </c>
      <c r="C667" s="20" t="s">
        <v>598</v>
      </c>
      <c r="D667" s="20" t="s">
        <v>599</v>
      </c>
      <c r="E667" s="20" t="s">
        <v>595</v>
      </c>
      <c r="F667" s="20" t="s">
        <v>1297</v>
      </c>
      <c r="G667" s="20" t="s">
        <v>71</v>
      </c>
      <c r="H667" s="20" t="s">
        <v>71</v>
      </c>
      <c r="I667" s="20" t="s">
        <v>72</v>
      </c>
      <c r="J667" s="20" t="s">
        <v>25</v>
      </c>
      <c r="K667" s="20" t="s">
        <v>597</v>
      </c>
    </row>
    <row r="668" spans="1:11" ht="30" customHeight="1" x14ac:dyDescent="0.25">
      <c r="A668" s="20" t="s">
        <v>506</v>
      </c>
      <c r="B668" s="20" t="s">
        <v>507</v>
      </c>
      <c r="C668" s="20" t="s">
        <v>687</v>
      </c>
      <c r="D668" s="20" t="s">
        <v>688</v>
      </c>
      <c r="E668" s="20" t="s">
        <v>689</v>
      </c>
      <c r="F668" s="20" t="s">
        <v>1298</v>
      </c>
      <c r="G668" s="20" t="s">
        <v>71</v>
      </c>
      <c r="H668" s="20" t="s">
        <v>71</v>
      </c>
      <c r="I668" s="20" t="s">
        <v>72</v>
      </c>
      <c r="J668" s="20" t="s">
        <v>25</v>
      </c>
      <c r="K668" s="20" t="s">
        <v>597</v>
      </c>
    </row>
    <row r="669" spans="1:11" ht="30" customHeight="1" x14ac:dyDescent="0.25">
      <c r="A669" s="20" t="s">
        <v>506</v>
      </c>
      <c r="B669" s="20" t="s">
        <v>507</v>
      </c>
      <c r="C669" s="20" t="s">
        <v>601</v>
      </c>
      <c r="D669" s="20" t="s">
        <v>602</v>
      </c>
      <c r="E669" s="20" t="s">
        <v>603</v>
      </c>
      <c r="F669" s="20" t="s">
        <v>1299</v>
      </c>
      <c r="G669" s="20" t="s">
        <v>71</v>
      </c>
      <c r="H669" s="20" t="s">
        <v>71</v>
      </c>
      <c r="I669" s="20" t="s">
        <v>72</v>
      </c>
      <c r="J669" s="20" t="s">
        <v>25</v>
      </c>
      <c r="K669" s="20" t="s">
        <v>597</v>
      </c>
    </row>
    <row r="670" spans="1:11" ht="30" customHeight="1" x14ac:dyDescent="0.25">
      <c r="A670" s="20" t="s">
        <v>506</v>
      </c>
      <c r="B670" s="20" t="s">
        <v>507</v>
      </c>
      <c r="C670" s="20" t="s">
        <v>854</v>
      </c>
      <c r="D670" s="20" t="s">
        <v>855</v>
      </c>
      <c r="E670" s="20" t="s">
        <v>856</v>
      </c>
      <c r="F670" s="20" t="s">
        <v>1300</v>
      </c>
      <c r="G670" s="20" t="s">
        <v>71</v>
      </c>
      <c r="H670" s="20" t="s">
        <v>78</v>
      </c>
      <c r="I670" s="20" t="s">
        <v>72</v>
      </c>
      <c r="J670" s="20" t="s">
        <v>25</v>
      </c>
      <c r="K670" s="20" t="s">
        <v>597</v>
      </c>
    </row>
    <row r="671" spans="1:11" ht="30" customHeight="1" x14ac:dyDescent="0.25">
      <c r="A671" s="20" t="s">
        <v>506</v>
      </c>
      <c r="B671" s="20" t="s">
        <v>507</v>
      </c>
      <c r="C671" s="20" t="s">
        <v>605</v>
      </c>
      <c r="D671" s="20" t="s">
        <v>606</v>
      </c>
      <c r="E671" s="20" t="s">
        <v>607</v>
      </c>
      <c r="F671" s="20" t="s">
        <v>1301</v>
      </c>
      <c r="G671" s="20" t="s">
        <v>71</v>
      </c>
      <c r="H671" s="20" t="s">
        <v>78</v>
      </c>
      <c r="I671" s="20" t="s">
        <v>72</v>
      </c>
      <c r="J671" s="20" t="s">
        <v>25</v>
      </c>
      <c r="K671" s="20" t="s">
        <v>597</v>
      </c>
    </row>
    <row r="672" spans="1:11" ht="30" customHeight="1" x14ac:dyDescent="0.25">
      <c r="A672" s="20" t="s">
        <v>506</v>
      </c>
      <c r="B672" s="20" t="s">
        <v>507</v>
      </c>
      <c r="C672" s="20" t="s">
        <v>609</v>
      </c>
      <c r="D672" s="20" t="s">
        <v>610</v>
      </c>
      <c r="E672" s="20" t="s">
        <v>595</v>
      </c>
      <c r="F672" s="20" t="s">
        <v>1302</v>
      </c>
      <c r="G672" s="20" t="s">
        <v>71</v>
      </c>
      <c r="H672" s="20" t="s">
        <v>71</v>
      </c>
      <c r="I672" s="20" t="s">
        <v>72</v>
      </c>
      <c r="J672" s="20" t="s">
        <v>25</v>
      </c>
      <c r="K672" s="20" t="s">
        <v>597</v>
      </c>
    </row>
    <row r="673" spans="1:11" ht="30" customHeight="1" x14ac:dyDescent="0.25">
      <c r="A673" s="20" t="s">
        <v>510</v>
      </c>
      <c r="B673" s="20" t="s">
        <v>511</v>
      </c>
      <c r="C673" s="20" t="s">
        <v>598</v>
      </c>
      <c r="D673" s="20" t="s">
        <v>599</v>
      </c>
      <c r="E673" s="20" t="s">
        <v>595</v>
      </c>
      <c r="F673" s="20" t="s">
        <v>1303</v>
      </c>
      <c r="G673" s="20" t="s">
        <v>71</v>
      </c>
      <c r="H673" s="20" t="s">
        <v>71</v>
      </c>
      <c r="I673" s="20" t="s">
        <v>72</v>
      </c>
      <c r="J673" s="20" t="s">
        <v>25</v>
      </c>
      <c r="K673" s="20" t="s">
        <v>597</v>
      </c>
    </row>
    <row r="674" spans="1:11" ht="30" customHeight="1" x14ac:dyDescent="0.25">
      <c r="A674" s="20" t="s">
        <v>510</v>
      </c>
      <c r="B674" s="20" t="s">
        <v>511</v>
      </c>
      <c r="C674" s="20" t="s">
        <v>687</v>
      </c>
      <c r="D674" s="20" t="s">
        <v>688</v>
      </c>
      <c r="E674" s="20" t="s">
        <v>689</v>
      </c>
      <c r="F674" s="20" t="s">
        <v>1304</v>
      </c>
      <c r="G674" s="20" t="s">
        <v>71</v>
      </c>
      <c r="H674" s="20" t="s">
        <v>71</v>
      </c>
      <c r="I674" s="20" t="s">
        <v>72</v>
      </c>
      <c r="J674" s="20" t="s">
        <v>25</v>
      </c>
      <c r="K674" s="20" t="s">
        <v>597</v>
      </c>
    </row>
    <row r="675" spans="1:11" ht="30" customHeight="1" x14ac:dyDescent="0.25">
      <c r="A675" s="20" t="s">
        <v>510</v>
      </c>
      <c r="B675" s="20" t="s">
        <v>511</v>
      </c>
      <c r="C675" s="20" t="s">
        <v>601</v>
      </c>
      <c r="D675" s="20" t="s">
        <v>602</v>
      </c>
      <c r="E675" s="20" t="s">
        <v>603</v>
      </c>
      <c r="F675" s="20" t="s">
        <v>1305</v>
      </c>
      <c r="G675" s="20" t="s">
        <v>71</v>
      </c>
      <c r="H675" s="20" t="s">
        <v>71</v>
      </c>
      <c r="I675" s="20" t="s">
        <v>72</v>
      </c>
      <c r="J675" s="20" t="s">
        <v>25</v>
      </c>
      <c r="K675" s="20" t="s">
        <v>597</v>
      </c>
    </row>
    <row r="676" spans="1:11" ht="30" customHeight="1" x14ac:dyDescent="0.25">
      <c r="A676" s="20" t="s">
        <v>510</v>
      </c>
      <c r="B676" s="20" t="s">
        <v>511</v>
      </c>
      <c r="C676" s="20" t="s">
        <v>854</v>
      </c>
      <c r="D676" s="20" t="s">
        <v>855</v>
      </c>
      <c r="E676" s="20" t="s">
        <v>856</v>
      </c>
      <c r="F676" s="20" t="s">
        <v>1306</v>
      </c>
      <c r="G676" s="20" t="s">
        <v>71</v>
      </c>
      <c r="H676" s="20" t="s">
        <v>78</v>
      </c>
      <c r="I676" s="20" t="s">
        <v>72</v>
      </c>
      <c r="J676" s="20" t="s">
        <v>25</v>
      </c>
      <c r="K676" s="20" t="s">
        <v>597</v>
      </c>
    </row>
    <row r="677" spans="1:11" ht="30" customHeight="1" x14ac:dyDescent="0.25">
      <c r="A677" s="20" t="s">
        <v>510</v>
      </c>
      <c r="B677" s="20" t="s">
        <v>511</v>
      </c>
      <c r="C677" s="20" t="s">
        <v>605</v>
      </c>
      <c r="D677" s="20" t="s">
        <v>606</v>
      </c>
      <c r="E677" s="20" t="s">
        <v>607</v>
      </c>
      <c r="F677" s="20" t="s">
        <v>1307</v>
      </c>
      <c r="G677" s="20" t="s">
        <v>71</v>
      </c>
      <c r="H677" s="20" t="s">
        <v>78</v>
      </c>
      <c r="I677" s="20" t="s">
        <v>72</v>
      </c>
      <c r="J677" s="20" t="s">
        <v>25</v>
      </c>
      <c r="K677" s="20" t="s">
        <v>597</v>
      </c>
    </row>
    <row r="678" spans="1:11" ht="30" customHeight="1" x14ac:dyDescent="0.25">
      <c r="A678" s="20" t="s">
        <v>510</v>
      </c>
      <c r="B678" s="20" t="s">
        <v>511</v>
      </c>
      <c r="C678" s="20" t="s">
        <v>609</v>
      </c>
      <c r="D678" s="20" t="s">
        <v>610</v>
      </c>
      <c r="E678" s="20" t="s">
        <v>595</v>
      </c>
      <c r="F678" s="20" t="s">
        <v>1308</v>
      </c>
      <c r="G678" s="20" t="s">
        <v>71</v>
      </c>
      <c r="H678" s="20" t="s">
        <v>71</v>
      </c>
      <c r="I678" s="20" t="s">
        <v>72</v>
      </c>
      <c r="J678" s="20" t="s">
        <v>25</v>
      </c>
      <c r="K678" s="20" t="s">
        <v>597</v>
      </c>
    </row>
    <row r="679" spans="1:11" ht="30" customHeight="1" x14ac:dyDescent="0.25">
      <c r="A679" s="20" t="s">
        <v>514</v>
      </c>
      <c r="B679" s="20" t="s">
        <v>515</v>
      </c>
      <c r="C679" s="20" t="s">
        <v>598</v>
      </c>
      <c r="D679" s="20" t="s">
        <v>599</v>
      </c>
      <c r="E679" s="20" t="s">
        <v>595</v>
      </c>
      <c r="F679" s="20" t="s">
        <v>1309</v>
      </c>
      <c r="G679" s="20" t="s">
        <v>78</v>
      </c>
      <c r="H679" s="20" t="s">
        <v>71</v>
      </c>
      <c r="I679" s="20" t="s">
        <v>72</v>
      </c>
      <c r="J679" s="20" t="s">
        <v>25</v>
      </c>
      <c r="K679" s="20" t="s">
        <v>597</v>
      </c>
    </row>
    <row r="680" spans="1:11" ht="30" customHeight="1" x14ac:dyDescent="0.25">
      <c r="A680" s="20" t="s">
        <v>514</v>
      </c>
      <c r="B680" s="20" t="s">
        <v>515</v>
      </c>
      <c r="C680" s="20" t="s">
        <v>687</v>
      </c>
      <c r="D680" s="20" t="s">
        <v>688</v>
      </c>
      <c r="E680" s="20" t="s">
        <v>689</v>
      </c>
      <c r="F680" s="20" t="s">
        <v>1310</v>
      </c>
      <c r="G680" s="20" t="s">
        <v>78</v>
      </c>
      <c r="H680" s="20" t="s">
        <v>71</v>
      </c>
      <c r="I680" s="20" t="s">
        <v>72</v>
      </c>
      <c r="J680" s="20" t="s">
        <v>25</v>
      </c>
      <c r="K680" s="20" t="s">
        <v>597</v>
      </c>
    </row>
    <row r="681" spans="1:11" ht="30" customHeight="1" x14ac:dyDescent="0.25">
      <c r="A681" s="20" t="s">
        <v>514</v>
      </c>
      <c r="B681" s="20" t="s">
        <v>515</v>
      </c>
      <c r="C681" s="20" t="s">
        <v>601</v>
      </c>
      <c r="D681" s="20" t="s">
        <v>602</v>
      </c>
      <c r="E681" s="20" t="s">
        <v>603</v>
      </c>
      <c r="F681" s="20" t="s">
        <v>1311</v>
      </c>
      <c r="G681" s="20" t="s">
        <v>78</v>
      </c>
      <c r="H681" s="20" t="s">
        <v>71</v>
      </c>
      <c r="I681" s="20" t="s">
        <v>72</v>
      </c>
      <c r="J681" s="20" t="s">
        <v>25</v>
      </c>
      <c r="K681" s="20" t="s">
        <v>597</v>
      </c>
    </row>
    <row r="682" spans="1:11" ht="30" customHeight="1" x14ac:dyDescent="0.25">
      <c r="A682" s="20" t="s">
        <v>514</v>
      </c>
      <c r="B682" s="20" t="s">
        <v>515</v>
      </c>
      <c r="C682" s="20" t="s">
        <v>854</v>
      </c>
      <c r="D682" s="20" t="s">
        <v>855</v>
      </c>
      <c r="E682" s="20" t="s">
        <v>856</v>
      </c>
      <c r="F682" s="20" t="s">
        <v>1312</v>
      </c>
      <c r="G682" s="20" t="s">
        <v>78</v>
      </c>
      <c r="H682" s="20" t="s">
        <v>78</v>
      </c>
      <c r="I682" s="20" t="s">
        <v>72</v>
      </c>
      <c r="J682" s="20" t="s">
        <v>25</v>
      </c>
      <c r="K682" s="20" t="s">
        <v>597</v>
      </c>
    </row>
    <row r="683" spans="1:11" ht="30" customHeight="1" x14ac:dyDescent="0.25">
      <c r="A683" s="20" t="s">
        <v>514</v>
      </c>
      <c r="B683" s="20" t="s">
        <v>515</v>
      </c>
      <c r="C683" s="20" t="s">
        <v>605</v>
      </c>
      <c r="D683" s="20" t="s">
        <v>606</v>
      </c>
      <c r="E683" s="20" t="s">
        <v>607</v>
      </c>
      <c r="F683" s="20" t="s">
        <v>1313</v>
      </c>
      <c r="G683" s="20" t="s">
        <v>78</v>
      </c>
      <c r="H683" s="20" t="s">
        <v>78</v>
      </c>
      <c r="I683" s="20" t="s">
        <v>72</v>
      </c>
      <c r="J683" s="20" t="s">
        <v>25</v>
      </c>
      <c r="K683" s="20" t="s">
        <v>597</v>
      </c>
    </row>
    <row r="684" spans="1:11" ht="30" customHeight="1" x14ac:dyDescent="0.25">
      <c r="A684" s="20" t="s">
        <v>514</v>
      </c>
      <c r="B684" s="20" t="s">
        <v>515</v>
      </c>
      <c r="C684" s="20" t="s">
        <v>609</v>
      </c>
      <c r="D684" s="20" t="s">
        <v>610</v>
      </c>
      <c r="E684" s="20" t="s">
        <v>595</v>
      </c>
      <c r="F684" s="20" t="s">
        <v>1314</v>
      </c>
      <c r="G684" s="20" t="s">
        <v>78</v>
      </c>
      <c r="H684" s="20" t="s">
        <v>71</v>
      </c>
      <c r="I684" s="20" t="s">
        <v>72</v>
      </c>
      <c r="J684" s="20" t="s">
        <v>25</v>
      </c>
      <c r="K684" s="20" t="s">
        <v>597</v>
      </c>
    </row>
    <row r="685" spans="1:11" ht="30" customHeight="1" x14ac:dyDescent="0.25">
      <c r="A685" s="20" t="s">
        <v>519</v>
      </c>
      <c r="B685" s="20" t="s">
        <v>520</v>
      </c>
      <c r="C685" s="20" t="s">
        <v>598</v>
      </c>
      <c r="D685" s="20" t="s">
        <v>599</v>
      </c>
      <c r="E685" s="20" t="s">
        <v>595</v>
      </c>
      <c r="F685" s="20" t="s">
        <v>1315</v>
      </c>
      <c r="G685" s="20" t="s">
        <v>71</v>
      </c>
      <c r="H685" s="20" t="s">
        <v>71</v>
      </c>
      <c r="I685" s="20" t="s">
        <v>72</v>
      </c>
      <c r="J685" s="20" t="s">
        <v>25</v>
      </c>
      <c r="K685" s="20" t="s">
        <v>597</v>
      </c>
    </row>
    <row r="686" spans="1:11" ht="30" customHeight="1" x14ac:dyDescent="0.25">
      <c r="A686" s="20" t="s">
        <v>519</v>
      </c>
      <c r="B686" s="20" t="s">
        <v>520</v>
      </c>
      <c r="C686" s="20" t="s">
        <v>687</v>
      </c>
      <c r="D686" s="20" t="s">
        <v>688</v>
      </c>
      <c r="E686" s="20" t="s">
        <v>689</v>
      </c>
      <c r="F686" s="20" t="s">
        <v>1316</v>
      </c>
      <c r="G686" s="20" t="s">
        <v>71</v>
      </c>
      <c r="H686" s="20" t="s">
        <v>71</v>
      </c>
      <c r="I686" s="20" t="s">
        <v>72</v>
      </c>
      <c r="J686" s="20" t="s">
        <v>25</v>
      </c>
      <c r="K686" s="20" t="s">
        <v>597</v>
      </c>
    </row>
    <row r="687" spans="1:11" ht="30" customHeight="1" x14ac:dyDescent="0.25">
      <c r="A687" s="20" t="s">
        <v>519</v>
      </c>
      <c r="B687" s="20" t="s">
        <v>520</v>
      </c>
      <c r="C687" s="20" t="s">
        <v>601</v>
      </c>
      <c r="D687" s="20" t="s">
        <v>602</v>
      </c>
      <c r="E687" s="20" t="s">
        <v>603</v>
      </c>
      <c r="F687" s="20" t="s">
        <v>1317</v>
      </c>
      <c r="G687" s="20" t="s">
        <v>71</v>
      </c>
      <c r="H687" s="20" t="s">
        <v>71</v>
      </c>
      <c r="I687" s="20" t="s">
        <v>72</v>
      </c>
      <c r="J687" s="20" t="s">
        <v>25</v>
      </c>
      <c r="K687" s="20" t="s">
        <v>597</v>
      </c>
    </row>
    <row r="688" spans="1:11" ht="30" customHeight="1" x14ac:dyDescent="0.25">
      <c r="A688" s="20" t="s">
        <v>519</v>
      </c>
      <c r="B688" s="20" t="s">
        <v>520</v>
      </c>
      <c r="C688" s="20" t="s">
        <v>854</v>
      </c>
      <c r="D688" s="20" t="s">
        <v>855</v>
      </c>
      <c r="E688" s="20" t="s">
        <v>856</v>
      </c>
      <c r="F688" s="20" t="s">
        <v>1318</v>
      </c>
      <c r="G688" s="20" t="s">
        <v>71</v>
      </c>
      <c r="H688" s="20" t="s">
        <v>78</v>
      </c>
      <c r="I688" s="20" t="s">
        <v>72</v>
      </c>
      <c r="J688" s="20" t="s">
        <v>25</v>
      </c>
      <c r="K688" s="20" t="s">
        <v>597</v>
      </c>
    </row>
    <row r="689" spans="1:11" ht="30" customHeight="1" x14ac:dyDescent="0.25">
      <c r="A689" s="20" t="s">
        <v>519</v>
      </c>
      <c r="B689" s="20" t="s">
        <v>520</v>
      </c>
      <c r="C689" s="20" t="s">
        <v>605</v>
      </c>
      <c r="D689" s="20" t="s">
        <v>606</v>
      </c>
      <c r="E689" s="20" t="s">
        <v>607</v>
      </c>
      <c r="F689" s="20" t="s">
        <v>1319</v>
      </c>
      <c r="G689" s="20" t="s">
        <v>71</v>
      </c>
      <c r="H689" s="20" t="s">
        <v>78</v>
      </c>
      <c r="I689" s="20" t="s">
        <v>72</v>
      </c>
      <c r="J689" s="20" t="s">
        <v>25</v>
      </c>
      <c r="K689" s="20" t="s">
        <v>597</v>
      </c>
    </row>
    <row r="690" spans="1:11" ht="30" customHeight="1" x14ac:dyDescent="0.25">
      <c r="A690" s="20" t="s">
        <v>519</v>
      </c>
      <c r="B690" s="20" t="s">
        <v>520</v>
      </c>
      <c r="C690" s="20" t="s">
        <v>609</v>
      </c>
      <c r="D690" s="20" t="s">
        <v>610</v>
      </c>
      <c r="E690" s="20" t="s">
        <v>595</v>
      </c>
      <c r="F690" s="20" t="s">
        <v>1320</v>
      </c>
      <c r="G690" s="20" t="s">
        <v>71</v>
      </c>
      <c r="H690" s="20" t="s">
        <v>71</v>
      </c>
      <c r="I690" s="20" t="s">
        <v>72</v>
      </c>
      <c r="J690" s="20" t="s">
        <v>25</v>
      </c>
      <c r="K690" s="20" t="s">
        <v>597</v>
      </c>
    </row>
    <row r="691" spans="1:11" ht="30" customHeight="1" x14ac:dyDescent="0.25">
      <c r="A691" s="20" t="s">
        <v>523</v>
      </c>
      <c r="B691" s="20" t="s">
        <v>524</v>
      </c>
      <c r="C691" s="20" t="s">
        <v>598</v>
      </c>
      <c r="D691" s="20" t="s">
        <v>599</v>
      </c>
      <c r="E691" s="20" t="s">
        <v>595</v>
      </c>
      <c r="F691" s="20" t="s">
        <v>1321</v>
      </c>
      <c r="G691" s="20" t="s">
        <v>71</v>
      </c>
      <c r="H691" s="20" t="s">
        <v>71</v>
      </c>
      <c r="I691" s="20" t="s">
        <v>72</v>
      </c>
      <c r="J691" s="20" t="s">
        <v>25</v>
      </c>
      <c r="K691" s="20" t="s">
        <v>597</v>
      </c>
    </row>
    <row r="692" spans="1:11" ht="30" customHeight="1" x14ac:dyDescent="0.25">
      <c r="A692" s="20" t="s">
        <v>523</v>
      </c>
      <c r="B692" s="20" t="s">
        <v>524</v>
      </c>
      <c r="C692" s="20" t="s">
        <v>687</v>
      </c>
      <c r="D692" s="20" t="s">
        <v>688</v>
      </c>
      <c r="E692" s="20" t="s">
        <v>689</v>
      </c>
      <c r="F692" s="20" t="s">
        <v>1322</v>
      </c>
      <c r="G692" s="20" t="s">
        <v>71</v>
      </c>
      <c r="H692" s="20" t="s">
        <v>71</v>
      </c>
      <c r="I692" s="20" t="s">
        <v>72</v>
      </c>
      <c r="J692" s="20" t="s">
        <v>25</v>
      </c>
      <c r="K692" s="20" t="s">
        <v>597</v>
      </c>
    </row>
    <row r="693" spans="1:11" ht="30" customHeight="1" x14ac:dyDescent="0.25">
      <c r="A693" s="20" t="s">
        <v>523</v>
      </c>
      <c r="B693" s="20" t="s">
        <v>524</v>
      </c>
      <c r="C693" s="20" t="s">
        <v>601</v>
      </c>
      <c r="D693" s="20" t="s">
        <v>602</v>
      </c>
      <c r="E693" s="20" t="s">
        <v>603</v>
      </c>
      <c r="F693" s="20" t="s">
        <v>1323</v>
      </c>
      <c r="G693" s="20" t="s">
        <v>71</v>
      </c>
      <c r="H693" s="20" t="s">
        <v>71</v>
      </c>
      <c r="I693" s="20" t="s">
        <v>72</v>
      </c>
      <c r="J693" s="20" t="s">
        <v>25</v>
      </c>
      <c r="K693" s="20" t="s">
        <v>597</v>
      </c>
    </row>
    <row r="694" spans="1:11" ht="30" customHeight="1" x14ac:dyDescent="0.25">
      <c r="A694" s="20" t="s">
        <v>523</v>
      </c>
      <c r="B694" s="20" t="s">
        <v>524</v>
      </c>
      <c r="C694" s="20" t="s">
        <v>854</v>
      </c>
      <c r="D694" s="20" t="s">
        <v>855</v>
      </c>
      <c r="E694" s="20" t="s">
        <v>856</v>
      </c>
      <c r="F694" s="20" t="s">
        <v>1324</v>
      </c>
      <c r="G694" s="20" t="s">
        <v>71</v>
      </c>
      <c r="H694" s="20" t="s">
        <v>78</v>
      </c>
      <c r="I694" s="20" t="s">
        <v>72</v>
      </c>
      <c r="J694" s="20" t="s">
        <v>25</v>
      </c>
      <c r="K694" s="20" t="s">
        <v>597</v>
      </c>
    </row>
    <row r="695" spans="1:11" ht="30" customHeight="1" x14ac:dyDescent="0.25">
      <c r="A695" s="20" t="s">
        <v>523</v>
      </c>
      <c r="B695" s="20" t="s">
        <v>524</v>
      </c>
      <c r="C695" s="20" t="s">
        <v>605</v>
      </c>
      <c r="D695" s="20" t="s">
        <v>606</v>
      </c>
      <c r="E695" s="20" t="s">
        <v>607</v>
      </c>
      <c r="F695" s="20" t="s">
        <v>1325</v>
      </c>
      <c r="G695" s="20" t="s">
        <v>71</v>
      </c>
      <c r="H695" s="20" t="s">
        <v>78</v>
      </c>
      <c r="I695" s="20" t="s">
        <v>72</v>
      </c>
      <c r="J695" s="20" t="s">
        <v>25</v>
      </c>
      <c r="K695" s="20" t="s">
        <v>597</v>
      </c>
    </row>
    <row r="696" spans="1:11" ht="30" customHeight="1" x14ac:dyDescent="0.25">
      <c r="A696" s="20" t="s">
        <v>523</v>
      </c>
      <c r="B696" s="20" t="s">
        <v>524</v>
      </c>
      <c r="C696" s="20" t="s">
        <v>609</v>
      </c>
      <c r="D696" s="20" t="s">
        <v>610</v>
      </c>
      <c r="E696" s="20" t="s">
        <v>595</v>
      </c>
      <c r="F696" s="20" t="s">
        <v>1326</v>
      </c>
      <c r="G696" s="20" t="s">
        <v>71</v>
      </c>
      <c r="H696" s="20" t="s">
        <v>71</v>
      </c>
      <c r="I696" s="20" t="s">
        <v>72</v>
      </c>
      <c r="J696" s="20" t="s">
        <v>25</v>
      </c>
      <c r="K696" s="20" t="s">
        <v>597</v>
      </c>
    </row>
    <row r="697" spans="1:11" ht="30" customHeight="1" x14ac:dyDescent="0.25">
      <c r="A697" s="20" t="s">
        <v>527</v>
      </c>
      <c r="B697" s="20" t="s">
        <v>528</v>
      </c>
      <c r="C697" s="20" t="s">
        <v>598</v>
      </c>
      <c r="D697" s="20" t="s">
        <v>599</v>
      </c>
      <c r="E697" s="20" t="s">
        <v>595</v>
      </c>
      <c r="F697" s="20" t="s">
        <v>1327</v>
      </c>
      <c r="G697" s="20" t="s">
        <v>71</v>
      </c>
      <c r="H697" s="20" t="s">
        <v>71</v>
      </c>
      <c r="I697" s="20" t="s">
        <v>72</v>
      </c>
      <c r="J697" s="20" t="s">
        <v>25</v>
      </c>
      <c r="K697" s="20" t="s">
        <v>597</v>
      </c>
    </row>
    <row r="698" spans="1:11" ht="30" customHeight="1" x14ac:dyDescent="0.25">
      <c r="A698" s="20" t="s">
        <v>527</v>
      </c>
      <c r="B698" s="20" t="s">
        <v>528</v>
      </c>
      <c r="C698" s="20" t="s">
        <v>687</v>
      </c>
      <c r="D698" s="20" t="s">
        <v>688</v>
      </c>
      <c r="E698" s="20" t="s">
        <v>689</v>
      </c>
      <c r="F698" s="20" t="s">
        <v>1328</v>
      </c>
      <c r="G698" s="20" t="s">
        <v>71</v>
      </c>
      <c r="H698" s="20" t="s">
        <v>71</v>
      </c>
      <c r="I698" s="20" t="s">
        <v>72</v>
      </c>
      <c r="J698" s="20" t="s">
        <v>25</v>
      </c>
      <c r="K698" s="20" t="s">
        <v>597</v>
      </c>
    </row>
    <row r="699" spans="1:11" ht="30" customHeight="1" x14ac:dyDescent="0.25">
      <c r="A699" s="20" t="s">
        <v>527</v>
      </c>
      <c r="B699" s="20" t="s">
        <v>528</v>
      </c>
      <c r="C699" s="20" t="s">
        <v>601</v>
      </c>
      <c r="D699" s="20" t="s">
        <v>602</v>
      </c>
      <c r="E699" s="20" t="s">
        <v>603</v>
      </c>
      <c r="F699" s="20" t="s">
        <v>1329</v>
      </c>
      <c r="G699" s="20" t="s">
        <v>71</v>
      </c>
      <c r="H699" s="20" t="s">
        <v>71</v>
      </c>
      <c r="I699" s="20" t="s">
        <v>72</v>
      </c>
      <c r="J699" s="20" t="s">
        <v>25</v>
      </c>
      <c r="K699" s="20" t="s">
        <v>597</v>
      </c>
    </row>
    <row r="700" spans="1:11" ht="30" customHeight="1" x14ac:dyDescent="0.25">
      <c r="A700" s="20" t="s">
        <v>527</v>
      </c>
      <c r="B700" s="20" t="s">
        <v>528</v>
      </c>
      <c r="C700" s="20" t="s">
        <v>854</v>
      </c>
      <c r="D700" s="20" t="s">
        <v>855</v>
      </c>
      <c r="E700" s="20" t="s">
        <v>856</v>
      </c>
      <c r="F700" s="20" t="s">
        <v>1330</v>
      </c>
      <c r="G700" s="20" t="s">
        <v>71</v>
      </c>
      <c r="H700" s="20" t="s">
        <v>78</v>
      </c>
      <c r="I700" s="20" t="s">
        <v>72</v>
      </c>
      <c r="J700" s="20" t="s">
        <v>25</v>
      </c>
      <c r="K700" s="20" t="s">
        <v>597</v>
      </c>
    </row>
    <row r="701" spans="1:11" ht="30" customHeight="1" x14ac:dyDescent="0.25">
      <c r="A701" s="20" t="s">
        <v>527</v>
      </c>
      <c r="B701" s="20" t="s">
        <v>528</v>
      </c>
      <c r="C701" s="20" t="s">
        <v>605</v>
      </c>
      <c r="D701" s="20" t="s">
        <v>606</v>
      </c>
      <c r="E701" s="20" t="s">
        <v>607</v>
      </c>
      <c r="F701" s="20" t="s">
        <v>1331</v>
      </c>
      <c r="G701" s="20" t="s">
        <v>71</v>
      </c>
      <c r="H701" s="20" t="s">
        <v>78</v>
      </c>
      <c r="I701" s="20" t="s">
        <v>72</v>
      </c>
      <c r="J701" s="20" t="s">
        <v>25</v>
      </c>
      <c r="K701" s="20" t="s">
        <v>597</v>
      </c>
    </row>
    <row r="702" spans="1:11" ht="30" customHeight="1" x14ac:dyDescent="0.25">
      <c r="A702" s="20" t="s">
        <v>527</v>
      </c>
      <c r="B702" s="20" t="s">
        <v>528</v>
      </c>
      <c r="C702" s="20" t="s">
        <v>609</v>
      </c>
      <c r="D702" s="20" t="s">
        <v>610</v>
      </c>
      <c r="E702" s="20" t="s">
        <v>595</v>
      </c>
      <c r="F702" s="20" t="s">
        <v>1332</v>
      </c>
      <c r="G702" s="20" t="s">
        <v>71</v>
      </c>
      <c r="H702" s="20" t="s">
        <v>71</v>
      </c>
      <c r="I702" s="20" t="s">
        <v>72</v>
      </c>
      <c r="J702" s="20" t="s">
        <v>25</v>
      </c>
      <c r="K702" s="20" t="s">
        <v>597</v>
      </c>
    </row>
    <row r="703" spans="1:11" ht="30" customHeight="1" x14ac:dyDescent="0.25">
      <c r="A703" s="20" t="s">
        <v>531</v>
      </c>
      <c r="B703" s="20" t="s">
        <v>532</v>
      </c>
      <c r="C703" s="20" t="s">
        <v>598</v>
      </c>
      <c r="D703" s="20" t="s">
        <v>599</v>
      </c>
      <c r="E703" s="20" t="s">
        <v>595</v>
      </c>
      <c r="F703" s="20" t="s">
        <v>1333</v>
      </c>
      <c r="G703" s="20" t="s">
        <v>78</v>
      </c>
      <c r="H703" s="20" t="s">
        <v>71</v>
      </c>
      <c r="I703" s="20" t="s">
        <v>72</v>
      </c>
      <c r="J703" s="20" t="s">
        <v>25</v>
      </c>
      <c r="K703" s="20" t="s">
        <v>597</v>
      </c>
    </row>
    <row r="704" spans="1:11" ht="30" customHeight="1" x14ac:dyDescent="0.25">
      <c r="A704" s="20" t="s">
        <v>531</v>
      </c>
      <c r="B704" s="20" t="s">
        <v>532</v>
      </c>
      <c r="C704" s="20" t="s">
        <v>687</v>
      </c>
      <c r="D704" s="20" t="s">
        <v>688</v>
      </c>
      <c r="E704" s="20" t="s">
        <v>689</v>
      </c>
      <c r="F704" s="20" t="s">
        <v>1334</v>
      </c>
      <c r="G704" s="20" t="s">
        <v>78</v>
      </c>
      <c r="H704" s="20" t="s">
        <v>71</v>
      </c>
      <c r="I704" s="20" t="s">
        <v>72</v>
      </c>
      <c r="J704" s="20" t="s">
        <v>25</v>
      </c>
      <c r="K704" s="20" t="s">
        <v>597</v>
      </c>
    </row>
    <row r="705" spans="1:11" ht="30" customHeight="1" x14ac:dyDescent="0.25">
      <c r="A705" s="20" t="s">
        <v>531</v>
      </c>
      <c r="B705" s="20" t="s">
        <v>532</v>
      </c>
      <c r="C705" s="20" t="s">
        <v>601</v>
      </c>
      <c r="D705" s="20" t="s">
        <v>602</v>
      </c>
      <c r="E705" s="20" t="s">
        <v>603</v>
      </c>
      <c r="F705" s="20" t="s">
        <v>1335</v>
      </c>
      <c r="G705" s="20" t="s">
        <v>78</v>
      </c>
      <c r="H705" s="20" t="s">
        <v>71</v>
      </c>
      <c r="I705" s="20" t="s">
        <v>72</v>
      </c>
      <c r="J705" s="20" t="s">
        <v>25</v>
      </c>
      <c r="K705" s="20" t="s">
        <v>597</v>
      </c>
    </row>
    <row r="706" spans="1:11" ht="30" customHeight="1" x14ac:dyDescent="0.25">
      <c r="A706" s="20" t="s">
        <v>531</v>
      </c>
      <c r="B706" s="20" t="s">
        <v>532</v>
      </c>
      <c r="C706" s="20" t="s">
        <v>854</v>
      </c>
      <c r="D706" s="20" t="s">
        <v>855</v>
      </c>
      <c r="E706" s="20" t="s">
        <v>856</v>
      </c>
      <c r="F706" s="20" t="s">
        <v>1336</v>
      </c>
      <c r="G706" s="20" t="s">
        <v>78</v>
      </c>
      <c r="H706" s="20" t="s">
        <v>78</v>
      </c>
      <c r="I706" s="20" t="s">
        <v>72</v>
      </c>
      <c r="J706" s="20" t="s">
        <v>25</v>
      </c>
      <c r="K706" s="20" t="s">
        <v>597</v>
      </c>
    </row>
    <row r="707" spans="1:11" ht="30" customHeight="1" x14ac:dyDescent="0.25">
      <c r="A707" s="20" t="s">
        <v>531</v>
      </c>
      <c r="B707" s="20" t="s">
        <v>532</v>
      </c>
      <c r="C707" s="20" t="s">
        <v>605</v>
      </c>
      <c r="D707" s="20" t="s">
        <v>606</v>
      </c>
      <c r="E707" s="20" t="s">
        <v>607</v>
      </c>
      <c r="F707" s="20" t="s">
        <v>1337</v>
      </c>
      <c r="G707" s="20" t="s">
        <v>78</v>
      </c>
      <c r="H707" s="20" t="s">
        <v>78</v>
      </c>
      <c r="I707" s="20" t="s">
        <v>72</v>
      </c>
      <c r="J707" s="20" t="s">
        <v>25</v>
      </c>
      <c r="K707" s="20" t="s">
        <v>597</v>
      </c>
    </row>
    <row r="708" spans="1:11" ht="30" customHeight="1" x14ac:dyDescent="0.25">
      <c r="A708" s="20" t="s">
        <v>531</v>
      </c>
      <c r="B708" s="20" t="s">
        <v>532</v>
      </c>
      <c r="C708" s="20" t="s">
        <v>609</v>
      </c>
      <c r="D708" s="20" t="s">
        <v>610</v>
      </c>
      <c r="E708" s="20" t="s">
        <v>595</v>
      </c>
      <c r="F708" s="20" t="s">
        <v>1338</v>
      </c>
      <c r="G708" s="20" t="s">
        <v>78</v>
      </c>
      <c r="H708" s="20" t="s">
        <v>71</v>
      </c>
      <c r="I708" s="20" t="s">
        <v>72</v>
      </c>
      <c r="J708" s="20" t="s">
        <v>25</v>
      </c>
      <c r="K708" s="20" t="s">
        <v>597</v>
      </c>
    </row>
    <row r="709" spans="1:11" ht="30" customHeight="1" x14ac:dyDescent="0.25">
      <c r="A709" s="20" t="s">
        <v>535</v>
      </c>
      <c r="B709" s="20" t="s">
        <v>536</v>
      </c>
      <c r="C709" s="20" t="s">
        <v>679</v>
      </c>
      <c r="D709" s="20" t="s">
        <v>680</v>
      </c>
      <c r="E709" s="20" t="s">
        <v>681</v>
      </c>
      <c r="F709" s="20" t="s">
        <v>1339</v>
      </c>
      <c r="G709" s="20" t="s">
        <v>78</v>
      </c>
      <c r="H709" s="20" t="s">
        <v>71</v>
      </c>
      <c r="I709" s="20" t="s">
        <v>72</v>
      </c>
      <c r="J709" s="20" t="s">
        <v>25</v>
      </c>
      <c r="K709" s="20" t="s">
        <v>597</v>
      </c>
    </row>
    <row r="710" spans="1:11" ht="30" customHeight="1" x14ac:dyDescent="0.25">
      <c r="A710" s="20" t="s">
        <v>535</v>
      </c>
      <c r="B710" s="20" t="s">
        <v>536</v>
      </c>
      <c r="C710" s="20" t="s">
        <v>683</v>
      </c>
      <c r="D710" s="20" t="s">
        <v>684</v>
      </c>
      <c r="E710" s="20" t="s">
        <v>685</v>
      </c>
      <c r="F710" s="20" t="s">
        <v>1340</v>
      </c>
      <c r="G710" s="20" t="s">
        <v>78</v>
      </c>
      <c r="H710" s="20" t="s">
        <v>71</v>
      </c>
      <c r="I710" s="20" t="s">
        <v>72</v>
      </c>
      <c r="J710" s="20" t="s">
        <v>25</v>
      </c>
      <c r="K710" s="20" t="s">
        <v>597</v>
      </c>
    </row>
    <row r="711" spans="1:11" ht="30" customHeight="1" x14ac:dyDescent="0.25">
      <c r="A711" s="20" t="s">
        <v>535</v>
      </c>
      <c r="B711" s="20" t="s">
        <v>536</v>
      </c>
      <c r="C711" s="20" t="s">
        <v>687</v>
      </c>
      <c r="D711" s="20" t="s">
        <v>688</v>
      </c>
      <c r="E711" s="20" t="s">
        <v>689</v>
      </c>
      <c r="F711" s="20" t="s">
        <v>1341</v>
      </c>
      <c r="G711" s="20" t="s">
        <v>78</v>
      </c>
      <c r="H711" s="20" t="s">
        <v>71</v>
      </c>
      <c r="I711" s="20" t="s">
        <v>72</v>
      </c>
      <c r="J711" s="20" t="s">
        <v>25</v>
      </c>
      <c r="K711" s="20" t="s">
        <v>597</v>
      </c>
    </row>
    <row r="712" spans="1:11" ht="30" customHeight="1" x14ac:dyDescent="0.25">
      <c r="A712" s="20" t="s">
        <v>535</v>
      </c>
      <c r="B712" s="20" t="s">
        <v>536</v>
      </c>
      <c r="C712" s="20" t="s">
        <v>601</v>
      </c>
      <c r="D712" s="20" t="s">
        <v>602</v>
      </c>
      <c r="E712" s="20" t="s">
        <v>603</v>
      </c>
      <c r="F712" s="20" t="s">
        <v>1342</v>
      </c>
      <c r="G712" s="20" t="s">
        <v>78</v>
      </c>
      <c r="H712" s="20" t="s">
        <v>71</v>
      </c>
      <c r="I712" s="20" t="s">
        <v>72</v>
      </c>
      <c r="J712" s="20" t="s">
        <v>25</v>
      </c>
      <c r="K712" s="20" t="s">
        <v>597</v>
      </c>
    </row>
    <row r="713" spans="1:11" ht="30" customHeight="1" x14ac:dyDescent="0.25">
      <c r="A713" s="20" t="s">
        <v>535</v>
      </c>
      <c r="B713" s="20" t="s">
        <v>536</v>
      </c>
      <c r="C713" s="20" t="s">
        <v>692</v>
      </c>
      <c r="D713" s="20" t="s">
        <v>693</v>
      </c>
      <c r="E713" s="20" t="s">
        <v>689</v>
      </c>
      <c r="F713" s="20" t="s">
        <v>1343</v>
      </c>
      <c r="G713" s="20" t="s">
        <v>78</v>
      </c>
      <c r="H713" s="20" t="s">
        <v>71</v>
      </c>
      <c r="I713" s="20" t="s">
        <v>72</v>
      </c>
      <c r="J713" s="20" t="s">
        <v>25</v>
      </c>
      <c r="K713" s="20" t="s">
        <v>597</v>
      </c>
    </row>
    <row r="714" spans="1:11" ht="30" customHeight="1" x14ac:dyDescent="0.25">
      <c r="A714" s="20" t="s">
        <v>535</v>
      </c>
      <c r="B714" s="20" t="s">
        <v>536</v>
      </c>
      <c r="C714" s="20" t="s">
        <v>609</v>
      </c>
      <c r="D714" s="20" t="s">
        <v>610</v>
      </c>
      <c r="E714" s="20" t="s">
        <v>595</v>
      </c>
      <c r="F714" s="20" t="s">
        <v>1344</v>
      </c>
      <c r="G714" s="20" t="s">
        <v>78</v>
      </c>
      <c r="H714" s="20" t="s">
        <v>71</v>
      </c>
      <c r="I714" s="20" t="s">
        <v>72</v>
      </c>
      <c r="J714" s="20" t="s">
        <v>25</v>
      </c>
      <c r="K714" s="20" t="s">
        <v>597</v>
      </c>
    </row>
    <row r="715" spans="1:11" ht="30" customHeight="1" x14ac:dyDescent="0.25">
      <c r="A715" s="20" t="s">
        <v>539</v>
      </c>
      <c r="B715" s="20" t="s">
        <v>540</v>
      </c>
      <c r="C715" s="20" t="s">
        <v>679</v>
      </c>
      <c r="D715" s="20" t="s">
        <v>680</v>
      </c>
      <c r="E715" s="20" t="s">
        <v>681</v>
      </c>
      <c r="F715" s="20" t="s">
        <v>1345</v>
      </c>
      <c r="G715" s="20" t="s">
        <v>78</v>
      </c>
      <c r="H715" s="20" t="s">
        <v>71</v>
      </c>
      <c r="I715" s="20" t="s">
        <v>72</v>
      </c>
      <c r="J715" s="20" t="s">
        <v>25</v>
      </c>
      <c r="K715" s="20" t="s">
        <v>597</v>
      </c>
    </row>
    <row r="716" spans="1:11" ht="30" customHeight="1" x14ac:dyDescent="0.25">
      <c r="A716" s="20" t="s">
        <v>539</v>
      </c>
      <c r="B716" s="20" t="s">
        <v>540</v>
      </c>
      <c r="C716" s="20" t="s">
        <v>683</v>
      </c>
      <c r="D716" s="20" t="s">
        <v>684</v>
      </c>
      <c r="E716" s="20" t="s">
        <v>685</v>
      </c>
      <c r="F716" s="20" t="s">
        <v>1346</v>
      </c>
      <c r="G716" s="20" t="s">
        <v>78</v>
      </c>
      <c r="H716" s="20" t="s">
        <v>71</v>
      </c>
      <c r="I716" s="20" t="s">
        <v>72</v>
      </c>
      <c r="J716" s="20" t="s">
        <v>25</v>
      </c>
      <c r="K716" s="20" t="s">
        <v>597</v>
      </c>
    </row>
    <row r="717" spans="1:11" ht="30" customHeight="1" x14ac:dyDescent="0.25">
      <c r="A717" s="20" t="s">
        <v>539</v>
      </c>
      <c r="B717" s="20" t="s">
        <v>540</v>
      </c>
      <c r="C717" s="20" t="s">
        <v>687</v>
      </c>
      <c r="D717" s="20" t="s">
        <v>688</v>
      </c>
      <c r="E717" s="20" t="s">
        <v>689</v>
      </c>
      <c r="F717" s="20" t="s">
        <v>1347</v>
      </c>
      <c r="G717" s="20" t="s">
        <v>78</v>
      </c>
      <c r="H717" s="20" t="s">
        <v>71</v>
      </c>
      <c r="I717" s="20" t="s">
        <v>72</v>
      </c>
      <c r="J717" s="20" t="s">
        <v>25</v>
      </c>
      <c r="K717" s="20" t="s">
        <v>597</v>
      </c>
    </row>
    <row r="718" spans="1:11" ht="30" customHeight="1" x14ac:dyDescent="0.25">
      <c r="A718" s="20" t="s">
        <v>539</v>
      </c>
      <c r="B718" s="20" t="s">
        <v>540</v>
      </c>
      <c r="C718" s="20" t="s">
        <v>601</v>
      </c>
      <c r="D718" s="20" t="s">
        <v>602</v>
      </c>
      <c r="E718" s="20" t="s">
        <v>603</v>
      </c>
      <c r="F718" s="20" t="s">
        <v>1348</v>
      </c>
      <c r="G718" s="20" t="s">
        <v>78</v>
      </c>
      <c r="H718" s="20" t="s">
        <v>71</v>
      </c>
      <c r="I718" s="20" t="s">
        <v>72</v>
      </c>
      <c r="J718" s="20" t="s">
        <v>25</v>
      </c>
      <c r="K718" s="20" t="s">
        <v>597</v>
      </c>
    </row>
    <row r="719" spans="1:11" ht="30" customHeight="1" x14ac:dyDescent="0.25">
      <c r="A719" s="20" t="s">
        <v>539</v>
      </c>
      <c r="B719" s="20" t="s">
        <v>540</v>
      </c>
      <c r="C719" s="20" t="s">
        <v>692</v>
      </c>
      <c r="D719" s="20" t="s">
        <v>693</v>
      </c>
      <c r="E719" s="20" t="s">
        <v>689</v>
      </c>
      <c r="F719" s="20" t="s">
        <v>1349</v>
      </c>
      <c r="G719" s="20" t="s">
        <v>78</v>
      </c>
      <c r="H719" s="20" t="s">
        <v>71</v>
      </c>
      <c r="I719" s="20" t="s">
        <v>72</v>
      </c>
      <c r="J719" s="20" t="s">
        <v>25</v>
      </c>
      <c r="K719" s="20" t="s">
        <v>597</v>
      </c>
    </row>
    <row r="720" spans="1:11" ht="30" customHeight="1" x14ac:dyDescent="0.25">
      <c r="A720" s="20" t="s">
        <v>539</v>
      </c>
      <c r="B720" s="20" t="s">
        <v>540</v>
      </c>
      <c r="C720" s="20" t="s">
        <v>609</v>
      </c>
      <c r="D720" s="20" t="s">
        <v>610</v>
      </c>
      <c r="E720" s="20" t="s">
        <v>595</v>
      </c>
      <c r="F720" s="20" t="s">
        <v>1350</v>
      </c>
      <c r="G720" s="20" t="s">
        <v>78</v>
      </c>
      <c r="H720" s="20" t="s">
        <v>71</v>
      </c>
      <c r="I720" s="20" t="s">
        <v>72</v>
      </c>
      <c r="J720" s="20" t="s">
        <v>25</v>
      </c>
      <c r="K720" s="20" t="s">
        <v>597</v>
      </c>
    </row>
    <row r="721" spans="1:11" ht="30" customHeight="1" x14ac:dyDescent="0.25">
      <c r="A721" s="20" t="s">
        <v>543</v>
      </c>
      <c r="B721" s="20" t="s">
        <v>544</v>
      </c>
      <c r="C721" s="20" t="s">
        <v>594</v>
      </c>
      <c r="D721" s="20" t="s">
        <v>595</v>
      </c>
      <c r="E721" s="20" t="s">
        <v>595</v>
      </c>
      <c r="F721" s="20" t="s">
        <v>1351</v>
      </c>
      <c r="G721" s="20" t="s">
        <v>71</v>
      </c>
      <c r="H721" s="20" t="s">
        <v>71</v>
      </c>
      <c r="I721" s="20" t="s">
        <v>72</v>
      </c>
      <c r="J721" s="20" t="s">
        <v>25</v>
      </c>
      <c r="K721" s="20" t="s">
        <v>597</v>
      </c>
    </row>
    <row r="722" spans="1:11" ht="30" customHeight="1" x14ac:dyDescent="0.25">
      <c r="A722" s="20" t="s">
        <v>543</v>
      </c>
      <c r="B722" s="20" t="s">
        <v>544</v>
      </c>
      <c r="C722" s="20" t="s">
        <v>847</v>
      </c>
      <c r="D722" s="20" t="s">
        <v>848</v>
      </c>
      <c r="E722" s="20" t="s">
        <v>849</v>
      </c>
      <c r="F722" s="20" t="s">
        <v>1352</v>
      </c>
      <c r="G722" s="20" t="s">
        <v>71</v>
      </c>
      <c r="H722" s="20" t="s">
        <v>71</v>
      </c>
      <c r="I722" s="20" t="s">
        <v>72</v>
      </c>
      <c r="J722" s="20" t="s">
        <v>25</v>
      </c>
      <c r="K722" s="20" t="s">
        <v>597</v>
      </c>
    </row>
    <row r="723" spans="1:11" ht="30" customHeight="1" x14ac:dyDescent="0.25">
      <c r="A723" s="20" t="s">
        <v>543</v>
      </c>
      <c r="B723" s="20" t="s">
        <v>544</v>
      </c>
      <c r="C723" s="20" t="s">
        <v>598</v>
      </c>
      <c r="D723" s="20" t="s">
        <v>599</v>
      </c>
      <c r="E723" s="20" t="s">
        <v>595</v>
      </c>
      <c r="F723" s="20" t="s">
        <v>1353</v>
      </c>
      <c r="G723" s="20" t="s">
        <v>71</v>
      </c>
      <c r="H723" s="20" t="s">
        <v>71</v>
      </c>
      <c r="I723" s="20" t="s">
        <v>72</v>
      </c>
      <c r="J723" s="20" t="s">
        <v>25</v>
      </c>
      <c r="K723" s="20" t="s">
        <v>597</v>
      </c>
    </row>
    <row r="724" spans="1:11" ht="30" customHeight="1" x14ac:dyDescent="0.25">
      <c r="A724" s="20" t="s">
        <v>543</v>
      </c>
      <c r="B724" s="20" t="s">
        <v>544</v>
      </c>
      <c r="C724" s="20" t="s">
        <v>687</v>
      </c>
      <c r="D724" s="20" t="s">
        <v>688</v>
      </c>
      <c r="E724" s="20" t="s">
        <v>689</v>
      </c>
      <c r="F724" s="20" t="s">
        <v>1354</v>
      </c>
      <c r="G724" s="20" t="s">
        <v>71</v>
      </c>
      <c r="H724" s="20" t="s">
        <v>71</v>
      </c>
      <c r="I724" s="20" t="s">
        <v>72</v>
      </c>
      <c r="J724" s="20" t="s">
        <v>25</v>
      </c>
      <c r="K724" s="20" t="s">
        <v>597</v>
      </c>
    </row>
    <row r="725" spans="1:11" ht="30" customHeight="1" x14ac:dyDescent="0.25">
      <c r="A725" s="20" t="s">
        <v>543</v>
      </c>
      <c r="B725" s="20" t="s">
        <v>544</v>
      </c>
      <c r="C725" s="20" t="s">
        <v>601</v>
      </c>
      <c r="D725" s="20" t="s">
        <v>602</v>
      </c>
      <c r="E725" s="20" t="s">
        <v>603</v>
      </c>
      <c r="F725" s="20" t="s">
        <v>1355</v>
      </c>
      <c r="G725" s="20" t="s">
        <v>71</v>
      </c>
      <c r="H725" s="20" t="s">
        <v>71</v>
      </c>
      <c r="I725" s="20" t="s">
        <v>72</v>
      </c>
      <c r="J725" s="20" t="s">
        <v>25</v>
      </c>
      <c r="K725" s="20" t="s">
        <v>597</v>
      </c>
    </row>
    <row r="726" spans="1:11" ht="30" customHeight="1" x14ac:dyDescent="0.25">
      <c r="A726" s="20" t="s">
        <v>543</v>
      </c>
      <c r="B726" s="20" t="s">
        <v>544</v>
      </c>
      <c r="C726" s="20" t="s">
        <v>854</v>
      </c>
      <c r="D726" s="20" t="s">
        <v>855</v>
      </c>
      <c r="E726" s="20" t="s">
        <v>856</v>
      </c>
      <c r="F726" s="20" t="s">
        <v>1356</v>
      </c>
      <c r="G726" s="20" t="s">
        <v>71</v>
      </c>
      <c r="H726" s="20" t="s">
        <v>78</v>
      </c>
      <c r="I726" s="20" t="s">
        <v>72</v>
      </c>
      <c r="J726" s="20" t="s">
        <v>25</v>
      </c>
      <c r="K726" s="20" t="s">
        <v>597</v>
      </c>
    </row>
    <row r="727" spans="1:11" ht="30" customHeight="1" x14ac:dyDescent="0.25">
      <c r="A727" s="20" t="s">
        <v>543</v>
      </c>
      <c r="B727" s="20" t="s">
        <v>544</v>
      </c>
      <c r="C727" s="20" t="s">
        <v>858</v>
      </c>
      <c r="D727" s="20" t="s">
        <v>859</v>
      </c>
      <c r="E727" s="20" t="s">
        <v>860</v>
      </c>
      <c r="F727" s="20" t="s">
        <v>1357</v>
      </c>
      <c r="G727" s="20" t="s">
        <v>71</v>
      </c>
      <c r="H727" s="20" t="s">
        <v>71</v>
      </c>
      <c r="I727" s="20" t="s">
        <v>72</v>
      </c>
      <c r="J727" s="20" t="s">
        <v>25</v>
      </c>
      <c r="K727" s="20" t="s">
        <v>597</v>
      </c>
    </row>
    <row r="728" spans="1:11" ht="30" customHeight="1" x14ac:dyDescent="0.25">
      <c r="A728" s="20" t="s">
        <v>543</v>
      </c>
      <c r="B728" s="20" t="s">
        <v>544</v>
      </c>
      <c r="C728" s="20" t="s">
        <v>609</v>
      </c>
      <c r="D728" s="20" t="s">
        <v>610</v>
      </c>
      <c r="E728" s="20" t="s">
        <v>595</v>
      </c>
      <c r="F728" s="20" t="s">
        <v>1358</v>
      </c>
      <c r="G728" s="20" t="s">
        <v>71</v>
      </c>
      <c r="H728" s="20" t="s">
        <v>71</v>
      </c>
      <c r="I728" s="20" t="s">
        <v>72</v>
      </c>
      <c r="J728" s="20" t="s">
        <v>25</v>
      </c>
      <c r="K728" s="20" t="s">
        <v>597</v>
      </c>
    </row>
    <row r="729" spans="1:11" ht="30" customHeight="1" x14ac:dyDescent="0.25">
      <c r="A729" s="20" t="s">
        <v>547</v>
      </c>
      <c r="B729" s="20" t="s">
        <v>548</v>
      </c>
      <c r="C729" s="20" t="s">
        <v>594</v>
      </c>
      <c r="D729" s="20" t="s">
        <v>595</v>
      </c>
      <c r="E729" s="20" t="s">
        <v>595</v>
      </c>
      <c r="F729" s="20" t="s">
        <v>1359</v>
      </c>
      <c r="G729" s="20" t="s">
        <v>71</v>
      </c>
      <c r="H729" s="20" t="s">
        <v>71</v>
      </c>
      <c r="I729" s="20" t="s">
        <v>72</v>
      </c>
      <c r="J729" s="20" t="s">
        <v>25</v>
      </c>
      <c r="K729" s="20" t="s">
        <v>597</v>
      </c>
    </row>
    <row r="730" spans="1:11" ht="30" customHeight="1" x14ac:dyDescent="0.25">
      <c r="A730" s="20" t="s">
        <v>547</v>
      </c>
      <c r="B730" s="20" t="s">
        <v>548</v>
      </c>
      <c r="C730" s="20" t="s">
        <v>847</v>
      </c>
      <c r="D730" s="20" t="s">
        <v>848</v>
      </c>
      <c r="E730" s="20" t="s">
        <v>849</v>
      </c>
      <c r="F730" s="20" t="s">
        <v>1360</v>
      </c>
      <c r="G730" s="20" t="s">
        <v>71</v>
      </c>
      <c r="H730" s="20" t="s">
        <v>71</v>
      </c>
      <c r="I730" s="20" t="s">
        <v>72</v>
      </c>
      <c r="J730" s="20" t="s">
        <v>25</v>
      </c>
      <c r="K730" s="20" t="s">
        <v>597</v>
      </c>
    </row>
    <row r="731" spans="1:11" ht="30" customHeight="1" x14ac:dyDescent="0.25">
      <c r="A731" s="20" t="s">
        <v>547</v>
      </c>
      <c r="B731" s="20" t="s">
        <v>548</v>
      </c>
      <c r="C731" s="20" t="s">
        <v>598</v>
      </c>
      <c r="D731" s="20" t="s">
        <v>599</v>
      </c>
      <c r="E731" s="20" t="s">
        <v>595</v>
      </c>
      <c r="F731" s="20" t="s">
        <v>1361</v>
      </c>
      <c r="G731" s="20" t="s">
        <v>71</v>
      </c>
      <c r="H731" s="20" t="s">
        <v>71</v>
      </c>
      <c r="I731" s="20" t="s">
        <v>72</v>
      </c>
      <c r="J731" s="20" t="s">
        <v>25</v>
      </c>
      <c r="K731" s="20" t="s">
        <v>597</v>
      </c>
    </row>
    <row r="732" spans="1:11" ht="30" customHeight="1" x14ac:dyDescent="0.25">
      <c r="A732" s="20" t="s">
        <v>547</v>
      </c>
      <c r="B732" s="20" t="s">
        <v>548</v>
      </c>
      <c r="C732" s="20" t="s">
        <v>687</v>
      </c>
      <c r="D732" s="20" t="s">
        <v>688</v>
      </c>
      <c r="E732" s="20" t="s">
        <v>689</v>
      </c>
      <c r="F732" s="20" t="s">
        <v>1362</v>
      </c>
      <c r="G732" s="20" t="s">
        <v>71</v>
      </c>
      <c r="H732" s="20" t="s">
        <v>71</v>
      </c>
      <c r="I732" s="20" t="s">
        <v>72</v>
      </c>
      <c r="J732" s="20" t="s">
        <v>25</v>
      </c>
      <c r="K732" s="20" t="s">
        <v>597</v>
      </c>
    </row>
    <row r="733" spans="1:11" ht="30" customHeight="1" x14ac:dyDescent="0.25">
      <c r="A733" s="20" t="s">
        <v>547</v>
      </c>
      <c r="B733" s="20" t="s">
        <v>548</v>
      </c>
      <c r="C733" s="20" t="s">
        <v>601</v>
      </c>
      <c r="D733" s="20" t="s">
        <v>602</v>
      </c>
      <c r="E733" s="20" t="s">
        <v>603</v>
      </c>
      <c r="F733" s="20" t="s">
        <v>1363</v>
      </c>
      <c r="G733" s="20" t="s">
        <v>71</v>
      </c>
      <c r="H733" s="20" t="s">
        <v>71</v>
      </c>
      <c r="I733" s="20" t="s">
        <v>72</v>
      </c>
      <c r="J733" s="20" t="s">
        <v>25</v>
      </c>
      <c r="K733" s="20" t="s">
        <v>597</v>
      </c>
    </row>
    <row r="734" spans="1:11" ht="30" customHeight="1" x14ac:dyDescent="0.25">
      <c r="A734" s="20" t="s">
        <v>547</v>
      </c>
      <c r="B734" s="20" t="s">
        <v>548</v>
      </c>
      <c r="C734" s="20" t="s">
        <v>854</v>
      </c>
      <c r="D734" s="20" t="s">
        <v>855</v>
      </c>
      <c r="E734" s="20" t="s">
        <v>856</v>
      </c>
      <c r="F734" s="20" t="s">
        <v>1364</v>
      </c>
      <c r="G734" s="20" t="s">
        <v>71</v>
      </c>
      <c r="H734" s="20" t="s">
        <v>78</v>
      </c>
      <c r="I734" s="20" t="s">
        <v>72</v>
      </c>
      <c r="J734" s="20" t="s">
        <v>25</v>
      </c>
      <c r="K734" s="20" t="s">
        <v>597</v>
      </c>
    </row>
    <row r="735" spans="1:11" ht="30" customHeight="1" x14ac:dyDescent="0.25">
      <c r="A735" s="20" t="s">
        <v>547</v>
      </c>
      <c r="B735" s="20" t="s">
        <v>548</v>
      </c>
      <c r="C735" s="20" t="s">
        <v>858</v>
      </c>
      <c r="D735" s="20" t="s">
        <v>859</v>
      </c>
      <c r="E735" s="20" t="s">
        <v>860</v>
      </c>
      <c r="F735" s="20" t="s">
        <v>1365</v>
      </c>
      <c r="G735" s="20" t="s">
        <v>71</v>
      </c>
      <c r="H735" s="20" t="s">
        <v>71</v>
      </c>
      <c r="I735" s="20" t="s">
        <v>72</v>
      </c>
      <c r="J735" s="20" t="s">
        <v>25</v>
      </c>
      <c r="K735" s="20" t="s">
        <v>597</v>
      </c>
    </row>
    <row r="736" spans="1:11" ht="30" customHeight="1" x14ac:dyDescent="0.25">
      <c r="A736" s="20" t="s">
        <v>547</v>
      </c>
      <c r="B736" s="20" t="s">
        <v>548</v>
      </c>
      <c r="C736" s="20" t="s">
        <v>609</v>
      </c>
      <c r="D736" s="20" t="s">
        <v>610</v>
      </c>
      <c r="E736" s="20" t="s">
        <v>595</v>
      </c>
      <c r="F736" s="20" t="s">
        <v>1366</v>
      </c>
      <c r="G736" s="20" t="s">
        <v>71</v>
      </c>
      <c r="H736" s="20" t="s">
        <v>71</v>
      </c>
      <c r="I736" s="20" t="s">
        <v>72</v>
      </c>
      <c r="J736" s="20" t="s">
        <v>25</v>
      </c>
      <c r="K736" s="20" t="s">
        <v>597</v>
      </c>
    </row>
    <row r="737" spans="1:11" ht="30" customHeight="1" x14ac:dyDescent="0.25">
      <c r="A737" s="20" t="s">
        <v>551</v>
      </c>
      <c r="B737" s="20" t="s">
        <v>552</v>
      </c>
      <c r="C737" s="20" t="s">
        <v>594</v>
      </c>
      <c r="D737" s="20" t="s">
        <v>595</v>
      </c>
      <c r="E737" s="20" t="s">
        <v>595</v>
      </c>
      <c r="F737" s="20" t="s">
        <v>1367</v>
      </c>
      <c r="G737" s="20" t="s">
        <v>78</v>
      </c>
      <c r="H737" s="20" t="s">
        <v>71</v>
      </c>
      <c r="I737" s="20" t="s">
        <v>72</v>
      </c>
      <c r="J737" s="20" t="s">
        <v>25</v>
      </c>
      <c r="K737" s="20" t="s">
        <v>597</v>
      </c>
    </row>
    <row r="738" spans="1:11" ht="30" customHeight="1" x14ac:dyDescent="0.25">
      <c r="A738" s="20" t="s">
        <v>551</v>
      </c>
      <c r="B738" s="20" t="s">
        <v>552</v>
      </c>
      <c r="C738" s="20" t="s">
        <v>847</v>
      </c>
      <c r="D738" s="20" t="s">
        <v>848</v>
      </c>
      <c r="E738" s="20" t="s">
        <v>849</v>
      </c>
      <c r="F738" s="20" t="s">
        <v>1368</v>
      </c>
      <c r="G738" s="20" t="s">
        <v>78</v>
      </c>
      <c r="H738" s="20" t="s">
        <v>71</v>
      </c>
      <c r="I738" s="20" t="s">
        <v>72</v>
      </c>
      <c r="J738" s="20" t="s">
        <v>25</v>
      </c>
      <c r="K738" s="20" t="s">
        <v>597</v>
      </c>
    </row>
    <row r="739" spans="1:11" ht="30" customHeight="1" x14ac:dyDescent="0.25">
      <c r="A739" s="20" t="s">
        <v>551</v>
      </c>
      <c r="B739" s="20" t="s">
        <v>552</v>
      </c>
      <c r="C739" s="20" t="s">
        <v>598</v>
      </c>
      <c r="D739" s="20" t="s">
        <v>599</v>
      </c>
      <c r="E739" s="20" t="s">
        <v>595</v>
      </c>
      <c r="F739" s="20" t="s">
        <v>1369</v>
      </c>
      <c r="G739" s="20" t="s">
        <v>78</v>
      </c>
      <c r="H739" s="20" t="s">
        <v>71</v>
      </c>
      <c r="I739" s="20" t="s">
        <v>72</v>
      </c>
      <c r="J739" s="20" t="s">
        <v>25</v>
      </c>
      <c r="K739" s="20" t="s">
        <v>597</v>
      </c>
    </row>
    <row r="740" spans="1:11" ht="30" customHeight="1" x14ac:dyDescent="0.25">
      <c r="A740" s="20" t="s">
        <v>551</v>
      </c>
      <c r="B740" s="20" t="s">
        <v>552</v>
      </c>
      <c r="C740" s="20" t="s">
        <v>687</v>
      </c>
      <c r="D740" s="20" t="s">
        <v>688</v>
      </c>
      <c r="E740" s="20" t="s">
        <v>689</v>
      </c>
      <c r="F740" s="20" t="s">
        <v>1370</v>
      </c>
      <c r="G740" s="20" t="s">
        <v>78</v>
      </c>
      <c r="H740" s="20" t="s">
        <v>71</v>
      </c>
      <c r="I740" s="20" t="s">
        <v>72</v>
      </c>
      <c r="J740" s="20" t="s">
        <v>25</v>
      </c>
      <c r="K740" s="20" t="s">
        <v>597</v>
      </c>
    </row>
    <row r="741" spans="1:11" ht="30" customHeight="1" x14ac:dyDescent="0.25">
      <c r="A741" s="20" t="s">
        <v>551</v>
      </c>
      <c r="B741" s="20" t="s">
        <v>552</v>
      </c>
      <c r="C741" s="20" t="s">
        <v>601</v>
      </c>
      <c r="D741" s="20" t="s">
        <v>602</v>
      </c>
      <c r="E741" s="20" t="s">
        <v>603</v>
      </c>
      <c r="F741" s="20" t="s">
        <v>1371</v>
      </c>
      <c r="G741" s="20" t="s">
        <v>78</v>
      </c>
      <c r="H741" s="20" t="s">
        <v>71</v>
      </c>
      <c r="I741" s="20" t="s">
        <v>72</v>
      </c>
      <c r="J741" s="20" t="s">
        <v>25</v>
      </c>
      <c r="K741" s="20" t="s">
        <v>597</v>
      </c>
    </row>
    <row r="742" spans="1:11" ht="30" customHeight="1" x14ac:dyDescent="0.25">
      <c r="A742" s="20" t="s">
        <v>551</v>
      </c>
      <c r="B742" s="20" t="s">
        <v>552</v>
      </c>
      <c r="C742" s="20" t="s">
        <v>854</v>
      </c>
      <c r="D742" s="20" t="s">
        <v>855</v>
      </c>
      <c r="E742" s="20" t="s">
        <v>856</v>
      </c>
      <c r="F742" s="20" t="s">
        <v>1372</v>
      </c>
      <c r="G742" s="20" t="s">
        <v>78</v>
      </c>
      <c r="H742" s="20" t="s">
        <v>78</v>
      </c>
      <c r="I742" s="20" t="s">
        <v>72</v>
      </c>
      <c r="J742" s="20" t="s">
        <v>25</v>
      </c>
      <c r="K742" s="20" t="s">
        <v>597</v>
      </c>
    </row>
    <row r="743" spans="1:11" ht="30" customHeight="1" x14ac:dyDescent="0.25">
      <c r="A743" s="20" t="s">
        <v>551</v>
      </c>
      <c r="B743" s="20" t="s">
        <v>552</v>
      </c>
      <c r="C743" s="20" t="s">
        <v>858</v>
      </c>
      <c r="D743" s="20" t="s">
        <v>859</v>
      </c>
      <c r="E743" s="20" t="s">
        <v>860</v>
      </c>
      <c r="F743" s="20" t="s">
        <v>1373</v>
      </c>
      <c r="G743" s="20" t="s">
        <v>78</v>
      </c>
      <c r="H743" s="20" t="s">
        <v>71</v>
      </c>
      <c r="I743" s="20" t="s">
        <v>72</v>
      </c>
      <c r="J743" s="20" t="s">
        <v>25</v>
      </c>
      <c r="K743" s="20" t="s">
        <v>597</v>
      </c>
    </row>
    <row r="744" spans="1:11" ht="30" customHeight="1" x14ac:dyDescent="0.25">
      <c r="A744" s="20" t="s">
        <v>551</v>
      </c>
      <c r="B744" s="20" t="s">
        <v>552</v>
      </c>
      <c r="C744" s="20" t="s">
        <v>609</v>
      </c>
      <c r="D744" s="20" t="s">
        <v>610</v>
      </c>
      <c r="E744" s="20" t="s">
        <v>595</v>
      </c>
      <c r="F744" s="20" t="s">
        <v>1374</v>
      </c>
      <c r="G744" s="20" t="s">
        <v>78</v>
      </c>
      <c r="H744" s="20" t="s">
        <v>71</v>
      </c>
      <c r="I744" s="20" t="s">
        <v>72</v>
      </c>
      <c r="J744" s="20" t="s">
        <v>25</v>
      </c>
      <c r="K744" s="20" t="s">
        <v>597</v>
      </c>
    </row>
    <row r="745" spans="1:11" ht="30" customHeight="1" x14ac:dyDescent="0.25">
      <c r="A745" s="20" t="s">
        <v>555</v>
      </c>
      <c r="B745" s="20" t="s">
        <v>556</v>
      </c>
      <c r="C745" s="20" t="s">
        <v>594</v>
      </c>
      <c r="D745" s="20" t="s">
        <v>595</v>
      </c>
      <c r="E745" s="20" t="s">
        <v>595</v>
      </c>
      <c r="F745" s="20" t="s">
        <v>1375</v>
      </c>
      <c r="G745" s="20" t="s">
        <v>78</v>
      </c>
      <c r="H745" s="20" t="s">
        <v>71</v>
      </c>
      <c r="I745" s="20" t="s">
        <v>72</v>
      </c>
      <c r="J745" s="20" t="s">
        <v>25</v>
      </c>
      <c r="K745" s="20" t="s">
        <v>597</v>
      </c>
    </row>
    <row r="746" spans="1:11" ht="30" customHeight="1" x14ac:dyDescent="0.25">
      <c r="A746" s="20" t="s">
        <v>555</v>
      </c>
      <c r="B746" s="20" t="s">
        <v>556</v>
      </c>
      <c r="C746" s="20" t="s">
        <v>962</v>
      </c>
      <c r="D746" s="20" t="s">
        <v>963</v>
      </c>
      <c r="E746" s="20" t="s">
        <v>860</v>
      </c>
      <c r="F746" s="20" t="s">
        <v>1376</v>
      </c>
      <c r="G746" s="20" t="s">
        <v>78</v>
      </c>
      <c r="H746" s="20" t="s">
        <v>71</v>
      </c>
      <c r="I746" s="20" t="s">
        <v>72</v>
      </c>
      <c r="J746" s="20" t="s">
        <v>25</v>
      </c>
      <c r="K746" s="20" t="s">
        <v>597</v>
      </c>
    </row>
    <row r="747" spans="1:11" ht="30" customHeight="1" x14ac:dyDescent="0.25">
      <c r="A747" s="20" t="s">
        <v>555</v>
      </c>
      <c r="B747" s="20" t="s">
        <v>556</v>
      </c>
      <c r="C747" s="20" t="s">
        <v>654</v>
      </c>
      <c r="D747" s="20" t="s">
        <v>655</v>
      </c>
      <c r="E747" s="20" t="s">
        <v>595</v>
      </c>
      <c r="F747" s="20" t="s">
        <v>1377</v>
      </c>
      <c r="G747" s="20" t="s">
        <v>78</v>
      </c>
      <c r="H747" s="20" t="s">
        <v>78</v>
      </c>
      <c r="I747" s="20" t="s">
        <v>72</v>
      </c>
      <c r="J747" s="20" t="s">
        <v>25</v>
      </c>
      <c r="K747" s="20" t="s">
        <v>597</v>
      </c>
    </row>
    <row r="748" spans="1:11" ht="30" customHeight="1" x14ac:dyDescent="0.25">
      <c r="A748" s="20" t="s">
        <v>555</v>
      </c>
      <c r="B748" s="20" t="s">
        <v>556</v>
      </c>
      <c r="C748" s="20" t="s">
        <v>858</v>
      </c>
      <c r="D748" s="20" t="s">
        <v>859</v>
      </c>
      <c r="E748" s="20" t="s">
        <v>860</v>
      </c>
      <c r="F748" s="20" t="s">
        <v>1378</v>
      </c>
      <c r="G748" s="20" t="s">
        <v>78</v>
      </c>
      <c r="H748" s="20" t="s">
        <v>71</v>
      </c>
      <c r="I748" s="20" t="s">
        <v>72</v>
      </c>
      <c r="J748" s="20" t="s">
        <v>25</v>
      </c>
      <c r="K748" s="20" t="s">
        <v>597</v>
      </c>
    </row>
    <row r="749" spans="1:11" ht="30" customHeight="1" x14ac:dyDescent="0.25">
      <c r="A749" s="20" t="s">
        <v>555</v>
      </c>
      <c r="B749" s="20" t="s">
        <v>556</v>
      </c>
      <c r="C749" s="20" t="s">
        <v>605</v>
      </c>
      <c r="D749" s="20" t="s">
        <v>606</v>
      </c>
      <c r="E749" s="20" t="s">
        <v>607</v>
      </c>
      <c r="F749" s="20" t="s">
        <v>1379</v>
      </c>
      <c r="G749" s="20" t="s">
        <v>78</v>
      </c>
      <c r="H749" s="20" t="s">
        <v>78</v>
      </c>
      <c r="I749" s="20" t="s">
        <v>72</v>
      </c>
      <c r="J749" s="20" t="s">
        <v>25</v>
      </c>
      <c r="K749" s="20" t="s">
        <v>597</v>
      </c>
    </row>
    <row r="750" spans="1:11" ht="30" customHeight="1" x14ac:dyDescent="0.25">
      <c r="A750" s="20" t="s">
        <v>555</v>
      </c>
      <c r="B750" s="20" t="s">
        <v>556</v>
      </c>
      <c r="C750" s="20" t="s">
        <v>609</v>
      </c>
      <c r="D750" s="20" t="s">
        <v>610</v>
      </c>
      <c r="E750" s="20" t="s">
        <v>595</v>
      </c>
      <c r="F750" s="20" t="s">
        <v>1380</v>
      </c>
      <c r="G750" s="20" t="s">
        <v>78</v>
      </c>
      <c r="H750" s="20" t="s">
        <v>71</v>
      </c>
      <c r="I750" s="20" t="s">
        <v>72</v>
      </c>
      <c r="J750" s="20" t="s">
        <v>25</v>
      </c>
      <c r="K750" s="20" t="s">
        <v>597</v>
      </c>
    </row>
    <row r="751" spans="1:11" ht="30" customHeight="1" x14ac:dyDescent="0.25">
      <c r="A751" s="20" t="s">
        <v>559</v>
      </c>
      <c r="B751" s="20" t="s">
        <v>560</v>
      </c>
      <c r="C751" s="20" t="s">
        <v>594</v>
      </c>
      <c r="D751" s="20" t="s">
        <v>595</v>
      </c>
      <c r="E751" s="20" t="s">
        <v>595</v>
      </c>
      <c r="F751" s="20" t="s">
        <v>1381</v>
      </c>
      <c r="G751" s="20" t="s">
        <v>78</v>
      </c>
      <c r="H751" s="20" t="s">
        <v>71</v>
      </c>
      <c r="I751" s="20" t="s">
        <v>72</v>
      </c>
      <c r="J751" s="20" t="s">
        <v>25</v>
      </c>
      <c r="K751" s="20" t="s">
        <v>597</v>
      </c>
    </row>
    <row r="752" spans="1:11" ht="30" customHeight="1" x14ac:dyDescent="0.25">
      <c r="A752" s="20" t="s">
        <v>559</v>
      </c>
      <c r="B752" s="20" t="s">
        <v>560</v>
      </c>
      <c r="C752" s="20" t="s">
        <v>962</v>
      </c>
      <c r="D752" s="20" t="s">
        <v>963</v>
      </c>
      <c r="E752" s="20" t="s">
        <v>860</v>
      </c>
      <c r="F752" s="20" t="s">
        <v>1382</v>
      </c>
      <c r="G752" s="20" t="s">
        <v>78</v>
      </c>
      <c r="H752" s="20" t="s">
        <v>71</v>
      </c>
      <c r="I752" s="20" t="s">
        <v>72</v>
      </c>
      <c r="J752" s="20" t="s">
        <v>25</v>
      </c>
      <c r="K752" s="20" t="s">
        <v>597</v>
      </c>
    </row>
    <row r="753" spans="1:11" ht="30" customHeight="1" x14ac:dyDescent="0.25">
      <c r="A753" s="20" t="s">
        <v>559</v>
      </c>
      <c r="B753" s="20" t="s">
        <v>560</v>
      </c>
      <c r="C753" s="20" t="s">
        <v>654</v>
      </c>
      <c r="D753" s="20" t="s">
        <v>655</v>
      </c>
      <c r="E753" s="20" t="s">
        <v>595</v>
      </c>
      <c r="F753" s="20" t="s">
        <v>1383</v>
      </c>
      <c r="G753" s="20" t="s">
        <v>78</v>
      </c>
      <c r="H753" s="20" t="s">
        <v>78</v>
      </c>
      <c r="I753" s="20" t="s">
        <v>72</v>
      </c>
      <c r="J753" s="20" t="s">
        <v>25</v>
      </c>
      <c r="K753" s="20" t="s">
        <v>597</v>
      </c>
    </row>
    <row r="754" spans="1:11" ht="30" customHeight="1" x14ac:dyDescent="0.25">
      <c r="A754" s="20" t="s">
        <v>559</v>
      </c>
      <c r="B754" s="20" t="s">
        <v>560</v>
      </c>
      <c r="C754" s="20" t="s">
        <v>858</v>
      </c>
      <c r="D754" s="20" t="s">
        <v>859</v>
      </c>
      <c r="E754" s="20" t="s">
        <v>860</v>
      </c>
      <c r="F754" s="20" t="s">
        <v>1384</v>
      </c>
      <c r="G754" s="20" t="s">
        <v>78</v>
      </c>
      <c r="H754" s="20" t="s">
        <v>71</v>
      </c>
      <c r="I754" s="20" t="s">
        <v>72</v>
      </c>
      <c r="J754" s="20" t="s">
        <v>25</v>
      </c>
      <c r="K754" s="20" t="s">
        <v>597</v>
      </c>
    </row>
    <row r="755" spans="1:11" ht="30" customHeight="1" x14ac:dyDescent="0.25">
      <c r="A755" s="20" t="s">
        <v>559</v>
      </c>
      <c r="B755" s="20" t="s">
        <v>560</v>
      </c>
      <c r="C755" s="20" t="s">
        <v>605</v>
      </c>
      <c r="D755" s="20" t="s">
        <v>606</v>
      </c>
      <c r="E755" s="20" t="s">
        <v>607</v>
      </c>
      <c r="F755" s="20" t="s">
        <v>1385</v>
      </c>
      <c r="G755" s="20" t="s">
        <v>78</v>
      </c>
      <c r="H755" s="20" t="s">
        <v>78</v>
      </c>
      <c r="I755" s="20" t="s">
        <v>72</v>
      </c>
      <c r="J755" s="20" t="s">
        <v>25</v>
      </c>
      <c r="K755" s="20" t="s">
        <v>597</v>
      </c>
    </row>
    <row r="756" spans="1:11" ht="30" customHeight="1" x14ac:dyDescent="0.25">
      <c r="A756" s="20" t="s">
        <v>559</v>
      </c>
      <c r="B756" s="20" t="s">
        <v>560</v>
      </c>
      <c r="C756" s="20" t="s">
        <v>609</v>
      </c>
      <c r="D756" s="20" t="s">
        <v>610</v>
      </c>
      <c r="E756" s="20" t="s">
        <v>595</v>
      </c>
      <c r="F756" s="20" t="s">
        <v>1386</v>
      </c>
      <c r="G756" s="20" t="s">
        <v>78</v>
      </c>
      <c r="H756" s="20" t="s">
        <v>71</v>
      </c>
      <c r="I756" s="20" t="s">
        <v>72</v>
      </c>
      <c r="J756" s="20" t="s">
        <v>25</v>
      </c>
      <c r="K756" s="20" t="s">
        <v>597</v>
      </c>
    </row>
    <row r="757" spans="1:11" ht="30" customHeight="1" x14ac:dyDescent="0.25">
      <c r="A757" s="20" t="s">
        <v>563</v>
      </c>
      <c r="B757" s="20" t="s">
        <v>564</v>
      </c>
      <c r="C757" s="20" t="s">
        <v>594</v>
      </c>
      <c r="D757" s="20" t="s">
        <v>595</v>
      </c>
      <c r="E757" s="20" t="s">
        <v>595</v>
      </c>
      <c r="F757" s="20" t="s">
        <v>1387</v>
      </c>
      <c r="G757" s="20" t="s">
        <v>71</v>
      </c>
      <c r="H757" s="20" t="s">
        <v>71</v>
      </c>
      <c r="I757" s="20" t="s">
        <v>72</v>
      </c>
      <c r="J757" s="20" t="s">
        <v>25</v>
      </c>
      <c r="K757" s="20" t="s">
        <v>597</v>
      </c>
    </row>
    <row r="758" spans="1:11" ht="30" customHeight="1" x14ac:dyDescent="0.25">
      <c r="A758" s="20" t="s">
        <v>563</v>
      </c>
      <c r="B758" s="20" t="s">
        <v>564</v>
      </c>
      <c r="C758" s="20" t="s">
        <v>962</v>
      </c>
      <c r="D758" s="20" t="s">
        <v>963</v>
      </c>
      <c r="E758" s="20" t="s">
        <v>860</v>
      </c>
      <c r="F758" s="20" t="s">
        <v>1388</v>
      </c>
      <c r="G758" s="20" t="s">
        <v>71</v>
      </c>
      <c r="H758" s="20" t="s">
        <v>71</v>
      </c>
      <c r="I758" s="20" t="s">
        <v>72</v>
      </c>
      <c r="J758" s="20" t="s">
        <v>25</v>
      </c>
      <c r="K758" s="20" t="s">
        <v>597</v>
      </c>
    </row>
    <row r="759" spans="1:11" ht="30" customHeight="1" x14ac:dyDescent="0.25">
      <c r="A759" s="20" t="s">
        <v>563</v>
      </c>
      <c r="B759" s="20" t="s">
        <v>564</v>
      </c>
      <c r="C759" s="20" t="s">
        <v>654</v>
      </c>
      <c r="D759" s="20" t="s">
        <v>655</v>
      </c>
      <c r="E759" s="20" t="s">
        <v>595</v>
      </c>
      <c r="F759" s="20" t="s">
        <v>1389</v>
      </c>
      <c r="G759" s="20" t="s">
        <v>71</v>
      </c>
      <c r="H759" s="20" t="s">
        <v>78</v>
      </c>
      <c r="I759" s="20" t="s">
        <v>72</v>
      </c>
      <c r="J759" s="20" t="s">
        <v>25</v>
      </c>
      <c r="K759" s="20" t="s">
        <v>597</v>
      </c>
    </row>
    <row r="760" spans="1:11" ht="30" customHeight="1" x14ac:dyDescent="0.25">
      <c r="A760" s="20" t="s">
        <v>563</v>
      </c>
      <c r="B760" s="20" t="s">
        <v>564</v>
      </c>
      <c r="C760" s="20" t="s">
        <v>858</v>
      </c>
      <c r="D760" s="20" t="s">
        <v>859</v>
      </c>
      <c r="E760" s="20" t="s">
        <v>860</v>
      </c>
      <c r="F760" s="20" t="s">
        <v>1390</v>
      </c>
      <c r="G760" s="20" t="s">
        <v>71</v>
      </c>
      <c r="H760" s="20" t="s">
        <v>71</v>
      </c>
      <c r="I760" s="20" t="s">
        <v>72</v>
      </c>
      <c r="J760" s="20" t="s">
        <v>25</v>
      </c>
      <c r="K760" s="20" t="s">
        <v>597</v>
      </c>
    </row>
    <row r="761" spans="1:11" ht="30" customHeight="1" x14ac:dyDescent="0.25">
      <c r="A761" s="20" t="s">
        <v>563</v>
      </c>
      <c r="B761" s="20" t="s">
        <v>564</v>
      </c>
      <c r="C761" s="20" t="s">
        <v>605</v>
      </c>
      <c r="D761" s="20" t="s">
        <v>606</v>
      </c>
      <c r="E761" s="20" t="s">
        <v>607</v>
      </c>
      <c r="F761" s="20" t="s">
        <v>1391</v>
      </c>
      <c r="G761" s="20" t="s">
        <v>71</v>
      </c>
      <c r="H761" s="20" t="s">
        <v>78</v>
      </c>
      <c r="I761" s="20" t="s">
        <v>72</v>
      </c>
      <c r="J761" s="20" t="s">
        <v>25</v>
      </c>
      <c r="K761" s="20" t="s">
        <v>597</v>
      </c>
    </row>
    <row r="762" spans="1:11" ht="30" customHeight="1" x14ac:dyDescent="0.25">
      <c r="A762" s="20" t="s">
        <v>563</v>
      </c>
      <c r="B762" s="20" t="s">
        <v>564</v>
      </c>
      <c r="C762" s="20" t="s">
        <v>609</v>
      </c>
      <c r="D762" s="20" t="s">
        <v>610</v>
      </c>
      <c r="E762" s="20" t="s">
        <v>595</v>
      </c>
      <c r="F762" s="20" t="s">
        <v>1392</v>
      </c>
      <c r="G762" s="20" t="s">
        <v>71</v>
      </c>
      <c r="H762" s="20" t="s">
        <v>71</v>
      </c>
      <c r="I762" s="20" t="s">
        <v>72</v>
      </c>
      <c r="J762" s="20" t="s">
        <v>25</v>
      </c>
      <c r="K762" s="20" t="s">
        <v>597</v>
      </c>
    </row>
    <row r="763" spans="1:11" ht="30" customHeight="1" x14ac:dyDescent="0.25">
      <c r="A763" s="20" t="s">
        <v>567</v>
      </c>
      <c r="B763" s="20" t="s">
        <v>568</v>
      </c>
      <c r="C763" s="20" t="s">
        <v>594</v>
      </c>
      <c r="D763" s="20" t="s">
        <v>595</v>
      </c>
      <c r="E763" s="20" t="s">
        <v>595</v>
      </c>
      <c r="F763" s="20" t="s">
        <v>1393</v>
      </c>
      <c r="G763" s="20" t="s">
        <v>71</v>
      </c>
      <c r="H763" s="20" t="s">
        <v>71</v>
      </c>
      <c r="I763" s="20" t="s">
        <v>72</v>
      </c>
      <c r="J763" s="20" t="s">
        <v>25</v>
      </c>
      <c r="K763" s="20" t="s">
        <v>597</v>
      </c>
    </row>
    <row r="764" spans="1:11" ht="30" customHeight="1" x14ac:dyDescent="0.25">
      <c r="A764" s="20" t="s">
        <v>567</v>
      </c>
      <c r="B764" s="20" t="s">
        <v>568</v>
      </c>
      <c r="C764" s="20" t="s">
        <v>598</v>
      </c>
      <c r="D764" s="20" t="s">
        <v>599</v>
      </c>
      <c r="E764" s="20" t="s">
        <v>595</v>
      </c>
      <c r="F764" s="20" t="s">
        <v>1394</v>
      </c>
      <c r="G764" s="20" t="s">
        <v>71</v>
      </c>
      <c r="H764" s="20" t="s">
        <v>71</v>
      </c>
      <c r="I764" s="20" t="s">
        <v>72</v>
      </c>
      <c r="J764" s="20" t="s">
        <v>25</v>
      </c>
      <c r="K764" s="20" t="s">
        <v>597</v>
      </c>
    </row>
    <row r="765" spans="1:11" ht="30" customHeight="1" x14ac:dyDescent="0.25">
      <c r="A765" s="20" t="s">
        <v>567</v>
      </c>
      <c r="B765" s="20" t="s">
        <v>568</v>
      </c>
      <c r="C765" s="20" t="s">
        <v>601</v>
      </c>
      <c r="D765" s="20" t="s">
        <v>602</v>
      </c>
      <c r="E765" s="20" t="s">
        <v>603</v>
      </c>
      <c r="F765" s="20" t="s">
        <v>1395</v>
      </c>
      <c r="G765" s="20" t="s">
        <v>71</v>
      </c>
      <c r="H765" s="20" t="s">
        <v>71</v>
      </c>
      <c r="I765" s="20" t="s">
        <v>72</v>
      </c>
      <c r="J765" s="20" t="s">
        <v>25</v>
      </c>
      <c r="K765" s="20" t="s">
        <v>597</v>
      </c>
    </row>
    <row r="766" spans="1:11" ht="30" customHeight="1" x14ac:dyDescent="0.25">
      <c r="A766" s="20" t="s">
        <v>567</v>
      </c>
      <c r="B766" s="20" t="s">
        <v>568</v>
      </c>
      <c r="C766" s="20" t="s">
        <v>854</v>
      </c>
      <c r="D766" s="20" t="s">
        <v>855</v>
      </c>
      <c r="E766" s="20" t="s">
        <v>856</v>
      </c>
      <c r="F766" s="20" t="s">
        <v>1396</v>
      </c>
      <c r="G766" s="20" t="s">
        <v>71</v>
      </c>
      <c r="H766" s="20" t="s">
        <v>78</v>
      </c>
      <c r="I766" s="20" t="s">
        <v>72</v>
      </c>
      <c r="J766" s="20" t="s">
        <v>25</v>
      </c>
      <c r="K766" s="20" t="s">
        <v>597</v>
      </c>
    </row>
    <row r="767" spans="1:11" ht="30" customHeight="1" x14ac:dyDescent="0.25">
      <c r="A767" s="20" t="s">
        <v>567</v>
      </c>
      <c r="B767" s="20" t="s">
        <v>568</v>
      </c>
      <c r="C767" s="20" t="s">
        <v>605</v>
      </c>
      <c r="D767" s="20" t="s">
        <v>606</v>
      </c>
      <c r="E767" s="20" t="s">
        <v>607</v>
      </c>
      <c r="F767" s="20" t="s">
        <v>1397</v>
      </c>
      <c r="G767" s="20" t="s">
        <v>71</v>
      </c>
      <c r="H767" s="20" t="s">
        <v>78</v>
      </c>
      <c r="I767" s="20" t="s">
        <v>72</v>
      </c>
      <c r="J767" s="20" t="s">
        <v>25</v>
      </c>
      <c r="K767" s="20" t="s">
        <v>597</v>
      </c>
    </row>
    <row r="768" spans="1:11" ht="30" customHeight="1" x14ac:dyDescent="0.25">
      <c r="A768" s="20" t="s">
        <v>567</v>
      </c>
      <c r="B768" s="20" t="s">
        <v>568</v>
      </c>
      <c r="C768" s="20" t="s">
        <v>609</v>
      </c>
      <c r="D768" s="20" t="s">
        <v>610</v>
      </c>
      <c r="E768" s="20" t="s">
        <v>595</v>
      </c>
      <c r="F768" s="20" t="s">
        <v>1398</v>
      </c>
      <c r="G768" s="20" t="s">
        <v>71</v>
      </c>
      <c r="H768" s="20" t="s">
        <v>71</v>
      </c>
      <c r="I768" s="20" t="s">
        <v>72</v>
      </c>
      <c r="J768" s="20" t="s">
        <v>25</v>
      </c>
      <c r="K768" s="20" t="s">
        <v>597</v>
      </c>
    </row>
    <row r="769" spans="1:11" ht="30" customHeight="1" x14ac:dyDescent="0.25">
      <c r="A769" s="20" t="s">
        <v>571</v>
      </c>
      <c r="B769" s="20" t="s">
        <v>572</v>
      </c>
      <c r="C769" s="20" t="s">
        <v>594</v>
      </c>
      <c r="D769" s="20" t="s">
        <v>595</v>
      </c>
      <c r="E769" s="20" t="s">
        <v>595</v>
      </c>
      <c r="F769" s="20" t="s">
        <v>1399</v>
      </c>
      <c r="G769" s="20" t="s">
        <v>71</v>
      </c>
      <c r="H769" s="20" t="s">
        <v>71</v>
      </c>
      <c r="I769" s="20" t="s">
        <v>72</v>
      </c>
      <c r="J769" s="20" t="s">
        <v>25</v>
      </c>
      <c r="K769" s="20" t="s">
        <v>597</v>
      </c>
    </row>
    <row r="770" spans="1:11" ht="30" customHeight="1" x14ac:dyDescent="0.25">
      <c r="A770" s="20" t="s">
        <v>571</v>
      </c>
      <c r="B770" s="20" t="s">
        <v>572</v>
      </c>
      <c r="C770" s="20" t="s">
        <v>598</v>
      </c>
      <c r="D770" s="20" t="s">
        <v>599</v>
      </c>
      <c r="E770" s="20" t="s">
        <v>595</v>
      </c>
      <c r="F770" s="20" t="s">
        <v>1400</v>
      </c>
      <c r="G770" s="20" t="s">
        <v>71</v>
      </c>
      <c r="H770" s="20" t="s">
        <v>71</v>
      </c>
      <c r="I770" s="20" t="s">
        <v>72</v>
      </c>
      <c r="J770" s="20" t="s">
        <v>25</v>
      </c>
      <c r="K770" s="20" t="s">
        <v>597</v>
      </c>
    </row>
    <row r="771" spans="1:11" ht="30" customHeight="1" x14ac:dyDescent="0.25">
      <c r="A771" s="20" t="s">
        <v>571</v>
      </c>
      <c r="B771" s="20" t="s">
        <v>572</v>
      </c>
      <c r="C771" s="20" t="s">
        <v>601</v>
      </c>
      <c r="D771" s="20" t="s">
        <v>602</v>
      </c>
      <c r="E771" s="20" t="s">
        <v>603</v>
      </c>
      <c r="F771" s="20" t="s">
        <v>1401</v>
      </c>
      <c r="G771" s="20" t="s">
        <v>71</v>
      </c>
      <c r="H771" s="20" t="s">
        <v>71</v>
      </c>
      <c r="I771" s="20" t="s">
        <v>72</v>
      </c>
      <c r="J771" s="20" t="s">
        <v>25</v>
      </c>
      <c r="K771" s="20" t="s">
        <v>597</v>
      </c>
    </row>
    <row r="772" spans="1:11" ht="30" customHeight="1" x14ac:dyDescent="0.25">
      <c r="A772" s="20" t="s">
        <v>571</v>
      </c>
      <c r="B772" s="20" t="s">
        <v>572</v>
      </c>
      <c r="C772" s="20" t="s">
        <v>854</v>
      </c>
      <c r="D772" s="20" t="s">
        <v>855</v>
      </c>
      <c r="E772" s="20" t="s">
        <v>856</v>
      </c>
      <c r="F772" s="20" t="s">
        <v>1402</v>
      </c>
      <c r="G772" s="20" t="s">
        <v>71</v>
      </c>
      <c r="H772" s="20" t="s">
        <v>78</v>
      </c>
      <c r="I772" s="20" t="s">
        <v>72</v>
      </c>
      <c r="J772" s="20" t="s">
        <v>25</v>
      </c>
      <c r="K772" s="20" t="s">
        <v>597</v>
      </c>
    </row>
    <row r="773" spans="1:11" ht="30" customHeight="1" x14ac:dyDescent="0.25">
      <c r="A773" s="20" t="s">
        <v>571</v>
      </c>
      <c r="B773" s="20" t="s">
        <v>572</v>
      </c>
      <c r="C773" s="20" t="s">
        <v>605</v>
      </c>
      <c r="D773" s="20" t="s">
        <v>606</v>
      </c>
      <c r="E773" s="20" t="s">
        <v>607</v>
      </c>
      <c r="F773" s="20" t="s">
        <v>1403</v>
      </c>
      <c r="G773" s="20" t="s">
        <v>71</v>
      </c>
      <c r="H773" s="20" t="s">
        <v>78</v>
      </c>
      <c r="I773" s="20" t="s">
        <v>72</v>
      </c>
      <c r="J773" s="20" t="s">
        <v>25</v>
      </c>
      <c r="K773" s="20" t="s">
        <v>597</v>
      </c>
    </row>
    <row r="774" spans="1:11" ht="30" customHeight="1" x14ac:dyDescent="0.25">
      <c r="A774" s="20" t="s">
        <v>571</v>
      </c>
      <c r="B774" s="20" t="s">
        <v>572</v>
      </c>
      <c r="C774" s="20" t="s">
        <v>609</v>
      </c>
      <c r="D774" s="20" t="s">
        <v>610</v>
      </c>
      <c r="E774" s="20" t="s">
        <v>595</v>
      </c>
      <c r="F774" s="20" t="s">
        <v>1404</v>
      </c>
      <c r="G774" s="20" t="s">
        <v>71</v>
      </c>
      <c r="H774" s="20" t="s">
        <v>71</v>
      </c>
      <c r="I774" s="20" t="s">
        <v>72</v>
      </c>
      <c r="J774" s="20" t="s">
        <v>25</v>
      </c>
      <c r="K774" s="20" t="s">
        <v>597</v>
      </c>
    </row>
    <row r="775" spans="1:11" ht="30" customHeight="1" x14ac:dyDescent="0.25">
      <c r="A775" s="20" t="s">
        <v>575</v>
      </c>
      <c r="B775" s="20" t="s">
        <v>576</v>
      </c>
      <c r="C775" s="20" t="s">
        <v>594</v>
      </c>
      <c r="D775" s="20" t="s">
        <v>595</v>
      </c>
      <c r="E775" s="20" t="s">
        <v>595</v>
      </c>
      <c r="F775" s="20" t="s">
        <v>1405</v>
      </c>
      <c r="G775" s="20" t="s">
        <v>71</v>
      </c>
      <c r="H775" s="20" t="s">
        <v>71</v>
      </c>
      <c r="I775" s="20" t="s">
        <v>72</v>
      </c>
      <c r="J775" s="20" t="s">
        <v>25</v>
      </c>
      <c r="K775" s="20" t="s">
        <v>597</v>
      </c>
    </row>
    <row r="776" spans="1:11" ht="30" customHeight="1" x14ac:dyDescent="0.25">
      <c r="A776" s="20" t="s">
        <v>575</v>
      </c>
      <c r="B776" s="20" t="s">
        <v>576</v>
      </c>
      <c r="C776" s="20" t="s">
        <v>598</v>
      </c>
      <c r="D776" s="20" t="s">
        <v>599</v>
      </c>
      <c r="E776" s="20" t="s">
        <v>595</v>
      </c>
      <c r="F776" s="20" t="s">
        <v>1406</v>
      </c>
      <c r="G776" s="20" t="s">
        <v>71</v>
      </c>
      <c r="H776" s="20" t="s">
        <v>71</v>
      </c>
      <c r="I776" s="20" t="s">
        <v>72</v>
      </c>
      <c r="J776" s="20" t="s">
        <v>25</v>
      </c>
      <c r="K776" s="20" t="s">
        <v>597</v>
      </c>
    </row>
    <row r="777" spans="1:11" ht="30" customHeight="1" x14ac:dyDescent="0.25">
      <c r="A777" s="20" t="s">
        <v>575</v>
      </c>
      <c r="B777" s="20" t="s">
        <v>576</v>
      </c>
      <c r="C777" s="20" t="s">
        <v>601</v>
      </c>
      <c r="D777" s="20" t="s">
        <v>602</v>
      </c>
      <c r="E777" s="20" t="s">
        <v>603</v>
      </c>
      <c r="F777" s="20" t="s">
        <v>1407</v>
      </c>
      <c r="G777" s="20" t="s">
        <v>71</v>
      </c>
      <c r="H777" s="20" t="s">
        <v>71</v>
      </c>
      <c r="I777" s="20" t="s">
        <v>72</v>
      </c>
      <c r="J777" s="20" t="s">
        <v>25</v>
      </c>
      <c r="K777" s="20" t="s">
        <v>597</v>
      </c>
    </row>
    <row r="778" spans="1:11" ht="30" customHeight="1" x14ac:dyDescent="0.25">
      <c r="A778" s="20" t="s">
        <v>575</v>
      </c>
      <c r="B778" s="20" t="s">
        <v>576</v>
      </c>
      <c r="C778" s="20" t="s">
        <v>854</v>
      </c>
      <c r="D778" s="20" t="s">
        <v>855</v>
      </c>
      <c r="E778" s="20" t="s">
        <v>856</v>
      </c>
      <c r="F778" s="20" t="s">
        <v>1408</v>
      </c>
      <c r="G778" s="20" t="s">
        <v>71</v>
      </c>
      <c r="H778" s="20" t="s">
        <v>78</v>
      </c>
      <c r="I778" s="20" t="s">
        <v>72</v>
      </c>
      <c r="J778" s="20" t="s">
        <v>25</v>
      </c>
      <c r="K778" s="20" t="s">
        <v>597</v>
      </c>
    </row>
    <row r="779" spans="1:11" ht="30" customHeight="1" x14ac:dyDescent="0.25">
      <c r="A779" s="20" t="s">
        <v>575</v>
      </c>
      <c r="B779" s="20" t="s">
        <v>576</v>
      </c>
      <c r="C779" s="20" t="s">
        <v>605</v>
      </c>
      <c r="D779" s="20" t="s">
        <v>606</v>
      </c>
      <c r="E779" s="20" t="s">
        <v>607</v>
      </c>
      <c r="F779" s="20" t="s">
        <v>1409</v>
      </c>
      <c r="G779" s="20" t="s">
        <v>71</v>
      </c>
      <c r="H779" s="20" t="s">
        <v>78</v>
      </c>
      <c r="I779" s="20" t="s">
        <v>72</v>
      </c>
      <c r="J779" s="20" t="s">
        <v>25</v>
      </c>
      <c r="K779" s="20" t="s">
        <v>597</v>
      </c>
    </row>
    <row r="780" spans="1:11" ht="30" customHeight="1" x14ac:dyDescent="0.25">
      <c r="A780" s="20" t="s">
        <v>575</v>
      </c>
      <c r="B780" s="20" t="s">
        <v>576</v>
      </c>
      <c r="C780" s="20" t="s">
        <v>609</v>
      </c>
      <c r="D780" s="20" t="s">
        <v>610</v>
      </c>
      <c r="E780" s="20" t="s">
        <v>595</v>
      </c>
      <c r="F780" s="20" t="s">
        <v>1410</v>
      </c>
      <c r="G780" s="20" t="s">
        <v>71</v>
      </c>
      <c r="H780" s="20" t="s">
        <v>71</v>
      </c>
      <c r="I780" s="20" t="s">
        <v>72</v>
      </c>
      <c r="J780" s="20" t="s">
        <v>25</v>
      </c>
      <c r="K780" s="20" t="s">
        <v>597</v>
      </c>
    </row>
    <row r="781" spans="1:11" ht="30" customHeight="1" x14ac:dyDescent="0.25">
      <c r="A781" s="20" t="s">
        <v>579</v>
      </c>
      <c r="B781" s="20" t="s">
        <v>580</v>
      </c>
      <c r="C781" s="20" t="s">
        <v>594</v>
      </c>
      <c r="D781" s="20" t="s">
        <v>595</v>
      </c>
      <c r="E781" s="20" t="s">
        <v>595</v>
      </c>
      <c r="F781" s="20" t="s">
        <v>1411</v>
      </c>
      <c r="G781" s="20" t="s">
        <v>78</v>
      </c>
      <c r="H781" s="20" t="s">
        <v>71</v>
      </c>
      <c r="I781" s="20" t="s">
        <v>72</v>
      </c>
      <c r="J781" s="20" t="s">
        <v>25</v>
      </c>
      <c r="K781" s="20" t="s">
        <v>597</v>
      </c>
    </row>
    <row r="782" spans="1:11" ht="30" customHeight="1" x14ac:dyDescent="0.25">
      <c r="A782" s="20" t="s">
        <v>579</v>
      </c>
      <c r="B782" s="20" t="s">
        <v>580</v>
      </c>
      <c r="C782" s="20" t="s">
        <v>598</v>
      </c>
      <c r="D782" s="20" t="s">
        <v>599</v>
      </c>
      <c r="E782" s="20" t="s">
        <v>595</v>
      </c>
      <c r="F782" s="20" t="s">
        <v>1412</v>
      </c>
      <c r="G782" s="20" t="s">
        <v>78</v>
      </c>
      <c r="H782" s="20" t="s">
        <v>71</v>
      </c>
      <c r="I782" s="20" t="s">
        <v>72</v>
      </c>
      <c r="J782" s="20" t="s">
        <v>25</v>
      </c>
      <c r="K782" s="20" t="s">
        <v>597</v>
      </c>
    </row>
    <row r="783" spans="1:11" ht="30" customHeight="1" x14ac:dyDescent="0.25">
      <c r="A783" s="20" t="s">
        <v>579</v>
      </c>
      <c r="B783" s="20" t="s">
        <v>580</v>
      </c>
      <c r="C783" s="20" t="s">
        <v>601</v>
      </c>
      <c r="D783" s="20" t="s">
        <v>602</v>
      </c>
      <c r="E783" s="20" t="s">
        <v>603</v>
      </c>
      <c r="F783" s="20" t="s">
        <v>1413</v>
      </c>
      <c r="G783" s="20" t="s">
        <v>78</v>
      </c>
      <c r="H783" s="20" t="s">
        <v>71</v>
      </c>
      <c r="I783" s="20" t="s">
        <v>72</v>
      </c>
      <c r="J783" s="20" t="s">
        <v>25</v>
      </c>
      <c r="K783" s="20" t="s">
        <v>597</v>
      </c>
    </row>
    <row r="784" spans="1:11" ht="30" customHeight="1" x14ac:dyDescent="0.25">
      <c r="A784" s="20" t="s">
        <v>579</v>
      </c>
      <c r="B784" s="20" t="s">
        <v>580</v>
      </c>
      <c r="C784" s="20" t="s">
        <v>854</v>
      </c>
      <c r="D784" s="20" t="s">
        <v>855</v>
      </c>
      <c r="E784" s="20" t="s">
        <v>856</v>
      </c>
      <c r="F784" s="20" t="s">
        <v>1414</v>
      </c>
      <c r="G784" s="20" t="s">
        <v>78</v>
      </c>
      <c r="H784" s="20" t="s">
        <v>78</v>
      </c>
      <c r="I784" s="20" t="s">
        <v>72</v>
      </c>
      <c r="J784" s="20" t="s">
        <v>25</v>
      </c>
      <c r="K784" s="20" t="s">
        <v>597</v>
      </c>
    </row>
    <row r="785" spans="1:11" ht="30" customHeight="1" x14ac:dyDescent="0.25">
      <c r="A785" s="20" t="s">
        <v>579</v>
      </c>
      <c r="B785" s="20" t="s">
        <v>580</v>
      </c>
      <c r="C785" s="20" t="s">
        <v>605</v>
      </c>
      <c r="D785" s="20" t="s">
        <v>606</v>
      </c>
      <c r="E785" s="20" t="s">
        <v>607</v>
      </c>
      <c r="F785" s="20" t="s">
        <v>1415</v>
      </c>
      <c r="G785" s="20" t="s">
        <v>78</v>
      </c>
      <c r="H785" s="20" t="s">
        <v>78</v>
      </c>
      <c r="I785" s="20" t="s">
        <v>72</v>
      </c>
      <c r="J785" s="20" t="s">
        <v>25</v>
      </c>
      <c r="K785" s="20" t="s">
        <v>597</v>
      </c>
    </row>
    <row r="786" spans="1:11" ht="30" customHeight="1" x14ac:dyDescent="0.25">
      <c r="A786" s="20" t="s">
        <v>579</v>
      </c>
      <c r="B786" s="20" t="s">
        <v>580</v>
      </c>
      <c r="C786" s="20" t="s">
        <v>609</v>
      </c>
      <c r="D786" s="20" t="s">
        <v>610</v>
      </c>
      <c r="E786" s="20" t="s">
        <v>595</v>
      </c>
      <c r="F786" s="20" t="s">
        <v>1416</v>
      </c>
      <c r="G786" s="20" t="s">
        <v>78</v>
      </c>
      <c r="H786" s="20" t="s">
        <v>71</v>
      </c>
      <c r="I786" s="20" t="s">
        <v>72</v>
      </c>
      <c r="J786" s="20" t="s">
        <v>25</v>
      </c>
      <c r="K786" s="20" t="s">
        <v>597</v>
      </c>
    </row>
  </sheetData>
  <mergeCells count="2">
    <mergeCell ref="A2:K2"/>
    <mergeCell ref="A1:K1"/>
  </mergeCells>
  <conditionalFormatting sqref="I4:I786">
    <cfRule type="expression" dxfId="79" priority="1">
      <formula>$I4="✅ Verificado"</formula>
    </cfRule>
    <cfRule type="expression" dxfId="78" priority="2">
      <formula>$I4="✅ Trazado"</formula>
    </cfRule>
    <cfRule type="expression" dxfId="77" priority="3">
      <formula>$I4="✅ Documentado"</formula>
    </cfRule>
    <cfRule type="expression" dxfId="76" priority="4">
      <formula>$I4="🧪 Planificado"</formula>
    </cfRule>
    <cfRule type="expression" dxfId="75" priority="5">
      <formula>$I4="⚠ Validar brecha v2.0"</formula>
    </cfRule>
    <cfRule type="expression" dxfId="74" priority="6">
      <formula>$I4="⏳ Pendiente"</formula>
    </cfRule>
    <cfRule type="expression" dxfId="73" priority="7">
      <formula>$I4="🔄 En Progreso"</formula>
    </cfRule>
    <cfRule type="expression" dxfId="72" priority="8">
      <formula>$I4="❌ No Cumplido"</formula>
    </cfRule>
  </conditionalFormatting>
  <conditionalFormatting sqref="J4:J786">
    <cfRule type="expression" dxfId="71" priority="9">
      <formula>$J4="✅ Verificado"</formula>
    </cfRule>
    <cfRule type="expression" dxfId="70" priority="10">
      <formula>$J4="✅ Trazado"</formula>
    </cfRule>
    <cfRule type="expression" dxfId="69" priority="11">
      <formula>$J4="✅ Documentado"</formula>
    </cfRule>
    <cfRule type="expression" dxfId="68" priority="12">
      <formula>$J4="🧪 Planificado"</formula>
    </cfRule>
    <cfRule type="expression" dxfId="67" priority="13">
      <formula>$J4="⚠ Validar brecha v2.0"</formula>
    </cfRule>
    <cfRule type="expression" dxfId="66" priority="14">
      <formula>$J4="⏳ Pendiente"</formula>
    </cfRule>
    <cfRule type="expression" dxfId="65" priority="15">
      <formula>$J4="🔄 En Progreso"</formula>
    </cfRule>
    <cfRule type="expression" dxfId="64" priority="16">
      <formula>$J4="❌ No Cumplido"</formula>
    </cfRule>
  </conditionalFormatting>
  <dataValidations count="3">
    <dataValidation type="list" allowBlank="1" sqref="I4 I5 I6 I7 I8 I9 I10 I11 I12 I13 I14 I15 I16 I17 I18 I19 I20 I21 I22 I23 I24 I25 I26 I27 I28 I29 J4 J5 J6 J7 J8 J9 J10 J11 J12 J13 J14 J15 J16 J17 J18 J19 J20 J21 J22 J23 J24 J25 J26 J27 J28 J29" xr:uid="{00000000-0002-0000-0200-000000000000}">
      <formula1>"✅ Verificado,🔄 En Progreso,❌ No Cumplido,⏳ Pendiente,🚫 Cancelado"</formula1>
    </dataValidation>
    <dataValidation type="list" allowBlank="1" sqref="G4 G5 G6 G7 G8 G9 G10 G11 G12 G13 G14 G15 G16 G17 G18 G19 G20 G21 G22 G23 G24 G25 G26 G27 G28 G29 H4 H5 H6 H7 H8 H9 H10 H11 H12 H13 H14 H15 H16 H17 H18 H19 H20 H21 H22 H23 H24 H25 H26 H27 H28 H29" xr:uid="{00000000-0002-0000-0200-000001000000}">
      <formula1>"Alta,Media,Baja"</formula1>
    </dataValidation>
    <dataValidation type="list" sqref="G4:H786" xr:uid="{00000000-0002-0000-0200-000002000000}">
      <formula1>"Alta,Media,Baja"</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4"/>
  <sheetViews>
    <sheetView showGridLines="0" workbookViewId="0"/>
  </sheetViews>
  <sheetFormatPr baseColWidth="10" defaultColWidth="9.140625" defaultRowHeight="15" x14ac:dyDescent="0.25"/>
  <cols>
    <col min="1" max="1" width="22" customWidth="1"/>
    <col min="2" max="2" width="34" customWidth="1"/>
    <col min="3" max="3" width="22" customWidth="1"/>
    <col min="4" max="4" width="40" customWidth="1"/>
    <col min="5" max="5" width="24" customWidth="1"/>
    <col min="6" max="6" width="50" customWidth="1"/>
    <col min="7" max="7" width="36" customWidth="1"/>
    <col min="8" max="8" width="58" customWidth="1"/>
    <col min="9" max="9" width="26" customWidth="1"/>
    <col min="10" max="10" width="12" customWidth="1"/>
    <col min="11" max="12" width="18" customWidth="1"/>
    <col min="13" max="13" width="48" customWidth="1"/>
  </cols>
  <sheetData>
    <row r="1" spans="1:13" ht="27.95" customHeight="1" x14ac:dyDescent="0.25">
      <c r="A1" s="65" t="s">
        <v>1417</v>
      </c>
      <c r="B1" s="66"/>
      <c r="C1" s="66"/>
      <c r="D1" s="66"/>
      <c r="E1" s="66"/>
      <c r="F1" s="66"/>
      <c r="G1" s="66"/>
      <c r="H1" s="66"/>
      <c r="I1" s="66"/>
      <c r="J1" s="66"/>
      <c r="K1" s="66"/>
      <c r="L1" s="66"/>
      <c r="M1" s="66"/>
    </row>
    <row r="2" spans="1:13" ht="21.95" customHeight="1" x14ac:dyDescent="0.25">
      <c r="A2" s="55" t="s">
        <v>1418</v>
      </c>
      <c r="B2" s="57"/>
      <c r="C2" s="57"/>
      <c r="D2" s="57"/>
      <c r="E2" s="57"/>
      <c r="F2" s="57"/>
      <c r="G2" s="57"/>
      <c r="H2" s="57"/>
      <c r="I2" s="57"/>
      <c r="J2" s="57"/>
      <c r="K2" s="57"/>
      <c r="L2" s="57"/>
      <c r="M2" s="57"/>
    </row>
    <row r="3" spans="1:13" ht="30" customHeight="1" x14ac:dyDescent="0.25">
      <c r="A3" s="12" t="s">
        <v>585</v>
      </c>
      <c r="B3" s="12" t="s">
        <v>586</v>
      </c>
      <c r="C3" s="12" t="s">
        <v>1419</v>
      </c>
      <c r="D3" s="12" t="s">
        <v>1420</v>
      </c>
      <c r="E3" s="12" t="s">
        <v>1421</v>
      </c>
      <c r="F3" s="12" t="s">
        <v>1422</v>
      </c>
      <c r="G3" s="12" t="s">
        <v>1423</v>
      </c>
      <c r="H3" s="12" t="s">
        <v>1424</v>
      </c>
      <c r="I3" s="12" t="s">
        <v>1425</v>
      </c>
      <c r="J3" s="12" t="s">
        <v>1426</v>
      </c>
      <c r="K3" s="12" t="s">
        <v>16</v>
      </c>
      <c r="L3" s="12" t="s">
        <v>1427</v>
      </c>
      <c r="M3" s="12" t="s">
        <v>65</v>
      </c>
    </row>
    <row r="4" spans="1:13" ht="33.950000000000003" customHeight="1" x14ac:dyDescent="0.25">
      <c r="A4" s="13" t="s">
        <v>66</v>
      </c>
      <c r="B4" s="13" t="s">
        <v>67</v>
      </c>
      <c r="C4" s="13" t="s">
        <v>1428</v>
      </c>
      <c r="D4" s="13" t="s">
        <v>1429</v>
      </c>
      <c r="E4" s="13" t="s">
        <v>1430</v>
      </c>
      <c r="F4" s="13" t="s">
        <v>1431</v>
      </c>
      <c r="G4" s="13" t="s">
        <v>1432</v>
      </c>
      <c r="H4" s="13" t="s">
        <v>1433</v>
      </c>
      <c r="I4" s="13" t="s">
        <v>1434</v>
      </c>
      <c r="J4" s="14" t="s">
        <v>71</v>
      </c>
      <c r="K4" s="15" t="s">
        <v>21</v>
      </c>
      <c r="L4" s="13" t="s">
        <v>1435</v>
      </c>
      <c r="M4" s="13" t="s">
        <v>1436</v>
      </c>
    </row>
    <row r="5" spans="1:13" ht="33.950000000000003" customHeight="1" x14ac:dyDescent="0.25">
      <c r="A5" s="16" t="s">
        <v>74</v>
      </c>
      <c r="B5" s="16" t="s">
        <v>75</v>
      </c>
      <c r="C5" s="16" t="s">
        <v>1437</v>
      </c>
      <c r="D5" s="16" t="s">
        <v>1438</v>
      </c>
      <c r="E5" s="16" t="s">
        <v>1430</v>
      </c>
      <c r="F5" s="16" t="s">
        <v>1439</v>
      </c>
      <c r="G5" s="16" t="s">
        <v>1440</v>
      </c>
      <c r="H5" s="16" t="s">
        <v>1441</v>
      </c>
      <c r="I5" s="16" t="s">
        <v>1434</v>
      </c>
      <c r="J5" s="17" t="s">
        <v>78</v>
      </c>
      <c r="K5" s="15" t="s">
        <v>21</v>
      </c>
      <c r="L5" s="16" t="s">
        <v>1435</v>
      </c>
      <c r="M5" s="16" t="s">
        <v>1436</v>
      </c>
    </row>
    <row r="6" spans="1:13" ht="33.950000000000003" customHeight="1" x14ac:dyDescent="0.25">
      <c r="A6" s="13" t="s">
        <v>80</v>
      </c>
      <c r="B6" s="13" t="s">
        <v>81</v>
      </c>
      <c r="C6" s="13" t="s">
        <v>1442</v>
      </c>
      <c r="D6" s="13" t="s">
        <v>1443</v>
      </c>
      <c r="E6" s="13" t="s">
        <v>1430</v>
      </c>
      <c r="F6" s="13" t="s">
        <v>1444</v>
      </c>
      <c r="G6" s="13" t="s">
        <v>1445</v>
      </c>
      <c r="H6" s="13" t="s">
        <v>1446</v>
      </c>
      <c r="I6" s="13" t="s">
        <v>1434</v>
      </c>
      <c r="J6" s="14" t="s">
        <v>71</v>
      </c>
      <c r="K6" s="18" t="s">
        <v>21</v>
      </c>
      <c r="L6" s="13" t="s">
        <v>1435</v>
      </c>
      <c r="M6" s="13" t="s">
        <v>1436</v>
      </c>
    </row>
    <row r="7" spans="1:13" ht="33.950000000000003" customHeight="1" x14ac:dyDescent="0.25">
      <c r="A7" s="16" t="s">
        <v>84</v>
      </c>
      <c r="B7" s="16" t="s">
        <v>85</v>
      </c>
      <c r="C7" s="16" t="s">
        <v>1447</v>
      </c>
      <c r="D7" s="16" t="s">
        <v>1448</v>
      </c>
      <c r="E7" s="16" t="s">
        <v>1430</v>
      </c>
      <c r="F7" s="16" t="s">
        <v>1444</v>
      </c>
      <c r="G7" s="16" t="s">
        <v>1449</v>
      </c>
      <c r="H7" s="16" t="s">
        <v>1450</v>
      </c>
      <c r="I7" s="16" t="s">
        <v>1434</v>
      </c>
      <c r="J7" s="17" t="s">
        <v>78</v>
      </c>
      <c r="K7" s="19" t="s">
        <v>21</v>
      </c>
      <c r="L7" s="16" t="s">
        <v>1435</v>
      </c>
      <c r="M7" s="16" t="s">
        <v>1436</v>
      </c>
    </row>
    <row r="8" spans="1:13" ht="33.950000000000003" customHeight="1" x14ac:dyDescent="0.25">
      <c r="A8" s="13" t="s">
        <v>88</v>
      </c>
      <c r="B8" s="13" t="s">
        <v>89</v>
      </c>
      <c r="C8" s="13" t="s">
        <v>1451</v>
      </c>
      <c r="D8" s="13" t="s">
        <v>1452</v>
      </c>
      <c r="E8" s="13" t="s">
        <v>1430</v>
      </c>
      <c r="F8" s="13" t="s">
        <v>1444</v>
      </c>
      <c r="G8" s="13" t="s">
        <v>1453</v>
      </c>
      <c r="H8" s="13" t="s">
        <v>1454</v>
      </c>
      <c r="I8" s="13" t="s">
        <v>1434</v>
      </c>
      <c r="J8" s="14" t="s">
        <v>78</v>
      </c>
      <c r="K8" s="19" t="s">
        <v>21</v>
      </c>
      <c r="L8" s="13" t="s">
        <v>1435</v>
      </c>
      <c r="M8" s="13" t="s">
        <v>1436</v>
      </c>
    </row>
    <row r="9" spans="1:13" ht="33.950000000000003" customHeight="1" x14ac:dyDescent="0.25">
      <c r="A9" s="16" t="s">
        <v>91</v>
      </c>
      <c r="B9" s="16" t="s">
        <v>92</v>
      </c>
      <c r="C9" s="16" t="s">
        <v>1455</v>
      </c>
      <c r="D9" s="16" t="s">
        <v>1456</v>
      </c>
      <c r="E9" s="16" t="s">
        <v>1430</v>
      </c>
      <c r="F9" s="16" t="s">
        <v>1444</v>
      </c>
      <c r="G9" s="16" t="s">
        <v>1457</v>
      </c>
      <c r="H9" s="16" t="s">
        <v>1458</v>
      </c>
      <c r="I9" s="16" t="s">
        <v>1434</v>
      </c>
      <c r="J9" s="17" t="s">
        <v>94</v>
      </c>
      <c r="K9" s="19" t="s">
        <v>21</v>
      </c>
      <c r="L9" s="16" t="s">
        <v>1435</v>
      </c>
      <c r="M9" s="16" t="s">
        <v>1436</v>
      </c>
    </row>
    <row r="10" spans="1:13" ht="33.950000000000003" customHeight="1" x14ac:dyDescent="0.25">
      <c r="A10" s="13" t="s">
        <v>95</v>
      </c>
      <c r="B10" s="13" t="s">
        <v>96</v>
      </c>
      <c r="C10" s="13" t="s">
        <v>1459</v>
      </c>
      <c r="D10" s="13" t="s">
        <v>1460</v>
      </c>
      <c r="E10" s="13" t="s">
        <v>1430</v>
      </c>
      <c r="F10" s="13" t="s">
        <v>1444</v>
      </c>
      <c r="G10" s="13" t="s">
        <v>1461</v>
      </c>
      <c r="H10" s="13" t="s">
        <v>1462</v>
      </c>
      <c r="I10" s="13" t="s">
        <v>1434</v>
      </c>
      <c r="J10" s="14" t="s">
        <v>94</v>
      </c>
      <c r="K10" s="18" t="s">
        <v>21</v>
      </c>
      <c r="L10" s="13" t="s">
        <v>1435</v>
      </c>
      <c r="M10" s="13" t="s">
        <v>1436</v>
      </c>
    </row>
    <row r="11" spans="1:13" ht="33.950000000000003" customHeight="1" x14ac:dyDescent="0.25">
      <c r="A11" s="16" t="s">
        <v>98</v>
      </c>
      <c r="B11" s="16" t="s">
        <v>99</v>
      </c>
      <c r="C11" s="16" t="s">
        <v>1463</v>
      </c>
      <c r="D11" s="16" t="s">
        <v>1464</v>
      </c>
      <c r="E11" s="16" t="s">
        <v>1430</v>
      </c>
      <c r="F11" s="16" t="s">
        <v>1444</v>
      </c>
      <c r="G11" s="16" t="s">
        <v>1465</v>
      </c>
      <c r="H11" s="16" t="s">
        <v>1466</v>
      </c>
      <c r="I11" s="16" t="s">
        <v>1434</v>
      </c>
      <c r="J11" s="16" t="s">
        <v>78</v>
      </c>
      <c r="K11" s="16" t="s">
        <v>21</v>
      </c>
      <c r="L11" s="16" t="s">
        <v>1435</v>
      </c>
      <c r="M11" s="16" t="s">
        <v>1436</v>
      </c>
    </row>
    <row r="12" spans="1:13" ht="33.950000000000003" customHeight="1" x14ac:dyDescent="0.25">
      <c r="A12" s="13" t="s">
        <v>101</v>
      </c>
      <c r="B12" s="13" t="s">
        <v>102</v>
      </c>
      <c r="C12" s="13" t="s">
        <v>1467</v>
      </c>
      <c r="D12" s="13" t="s">
        <v>1468</v>
      </c>
      <c r="E12" s="13" t="s">
        <v>1430</v>
      </c>
      <c r="F12" s="13" t="s">
        <v>1469</v>
      </c>
      <c r="G12" s="13" t="s">
        <v>1453</v>
      </c>
      <c r="H12" s="13" t="s">
        <v>1470</v>
      </c>
      <c r="I12" s="13" t="s">
        <v>1434</v>
      </c>
      <c r="J12" s="13" t="s">
        <v>71</v>
      </c>
      <c r="K12" s="13" t="s">
        <v>21</v>
      </c>
      <c r="L12" s="13" t="s">
        <v>1435</v>
      </c>
      <c r="M12" s="13" t="s">
        <v>1436</v>
      </c>
    </row>
    <row r="13" spans="1:13" ht="33.950000000000003" customHeight="1" x14ac:dyDescent="0.25">
      <c r="A13" s="16" t="s">
        <v>105</v>
      </c>
      <c r="B13" s="16" t="s">
        <v>106</v>
      </c>
      <c r="C13" s="16" t="s">
        <v>1471</v>
      </c>
      <c r="D13" s="16" t="s">
        <v>1472</v>
      </c>
      <c r="E13" s="16" t="s">
        <v>1473</v>
      </c>
      <c r="F13" s="16" t="s">
        <v>1474</v>
      </c>
      <c r="G13" s="16" t="s">
        <v>1475</v>
      </c>
      <c r="H13" s="16" t="s">
        <v>1476</v>
      </c>
      <c r="I13" s="16" t="s">
        <v>1434</v>
      </c>
      <c r="J13" s="16" t="s">
        <v>71</v>
      </c>
      <c r="K13" s="16" t="s">
        <v>21</v>
      </c>
      <c r="L13" s="16" t="s">
        <v>1435</v>
      </c>
      <c r="M13" s="16" t="s">
        <v>1436</v>
      </c>
    </row>
    <row r="14" spans="1:13" ht="33.950000000000003" customHeight="1" x14ac:dyDescent="0.25">
      <c r="A14" s="13" t="s">
        <v>109</v>
      </c>
      <c r="B14" s="13" t="s">
        <v>110</v>
      </c>
      <c r="C14" s="13" t="s">
        <v>1477</v>
      </c>
      <c r="D14" s="13" t="s">
        <v>1478</v>
      </c>
      <c r="E14" s="13" t="s">
        <v>1473</v>
      </c>
      <c r="F14" s="13" t="s">
        <v>1479</v>
      </c>
      <c r="G14" s="13" t="s">
        <v>1480</v>
      </c>
      <c r="H14" s="13" t="s">
        <v>1481</v>
      </c>
      <c r="I14" s="13" t="s">
        <v>1434</v>
      </c>
      <c r="J14" s="13" t="s">
        <v>78</v>
      </c>
      <c r="K14" s="13" t="s">
        <v>21</v>
      </c>
      <c r="L14" s="13" t="s">
        <v>1435</v>
      </c>
      <c r="M14" s="13" t="s">
        <v>1436</v>
      </c>
    </row>
    <row r="15" spans="1:13" ht="33.950000000000003" customHeight="1" x14ac:dyDescent="0.25">
      <c r="A15" s="16" t="s">
        <v>112</v>
      </c>
      <c r="B15" s="16" t="s">
        <v>113</v>
      </c>
      <c r="C15" s="16" t="s">
        <v>1482</v>
      </c>
      <c r="D15" s="16" t="s">
        <v>1483</v>
      </c>
      <c r="E15" s="16" t="s">
        <v>1473</v>
      </c>
      <c r="F15" s="16" t="s">
        <v>1479</v>
      </c>
      <c r="G15" s="16" t="s">
        <v>1484</v>
      </c>
      <c r="H15" s="16" t="s">
        <v>1485</v>
      </c>
      <c r="I15" s="16" t="s">
        <v>1434</v>
      </c>
      <c r="J15" s="16" t="s">
        <v>71</v>
      </c>
      <c r="K15" s="16" t="s">
        <v>21</v>
      </c>
      <c r="L15" s="16" t="s">
        <v>1435</v>
      </c>
      <c r="M15" s="16" t="s">
        <v>1436</v>
      </c>
    </row>
    <row r="16" spans="1:13" ht="33.950000000000003" customHeight="1" x14ac:dyDescent="0.25">
      <c r="A16" s="13" t="s">
        <v>116</v>
      </c>
      <c r="B16" s="13" t="s">
        <v>117</v>
      </c>
      <c r="C16" s="13" t="s">
        <v>1486</v>
      </c>
      <c r="D16" s="13" t="s">
        <v>1487</v>
      </c>
      <c r="E16" s="13" t="s">
        <v>1473</v>
      </c>
      <c r="F16" s="13" t="s">
        <v>1479</v>
      </c>
      <c r="G16" s="13" t="s">
        <v>1488</v>
      </c>
      <c r="H16" s="13" t="s">
        <v>1489</v>
      </c>
      <c r="I16" s="13" t="s">
        <v>1434</v>
      </c>
      <c r="J16" s="13" t="s">
        <v>78</v>
      </c>
      <c r="K16" s="13" t="s">
        <v>21</v>
      </c>
      <c r="L16" s="13" t="s">
        <v>1435</v>
      </c>
      <c r="M16" s="13" t="s">
        <v>1436</v>
      </c>
    </row>
    <row r="17" spans="1:13" ht="33.950000000000003" customHeight="1" x14ac:dyDescent="0.25">
      <c r="A17" s="16" t="s">
        <v>119</v>
      </c>
      <c r="B17" s="16" t="s">
        <v>120</v>
      </c>
      <c r="C17" s="16" t="s">
        <v>1490</v>
      </c>
      <c r="D17" s="16" t="s">
        <v>1491</v>
      </c>
      <c r="E17" s="16" t="s">
        <v>1430</v>
      </c>
      <c r="F17" s="16" t="s">
        <v>1479</v>
      </c>
      <c r="G17" s="16" t="s">
        <v>1492</v>
      </c>
      <c r="H17" s="16" t="s">
        <v>1493</v>
      </c>
      <c r="I17" s="16" t="s">
        <v>1434</v>
      </c>
      <c r="J17" s="16" t="s">
        <v>78</v>
      </c>
      <c r="K17" s="16" t="s">
        <v>21</v>
      </c>
      <c r="L17" s="16" t="s">
        <v>1435</v>
      </c>
      <c r="M17" s="16" t="s">
        <v>1436</v>
      </c>
    </row>
    <row r="18" spans="1:13" ht="33.950000000000003" customHeight="1" x14ac:dyDescent="0.25">
      <c r="A18" s="13" t="s">
        <v>124</v>
      </c>
      <c r="B18" s="13" t="s">
        <v>125</v>
      </c>
      <c r="C18" s="13" t="s">
        <v>1494</v>
      </c>
      <c r="D18" s="13" t="s">
        <v>1495</v>
      </c>
      <c r="E18" s="13" t="s">
        <v>1496</v>
      </c>
      <c r="F18" s="13" t="s">
        <v>1497</v>
      </c>
      <c r="G18" s="13" t="s">
        <v>1480</v>
      </c>
      <c r="H18" s="13" t="s">
        <v>1498</v>
      </c>
      <c r="I18" s="13" t="s">
        <v>1434</v>
      </c>
      <c r="J18" s="13" t="s">
        <v>71</v>
      </c>
      <c r="K18" s="13" t="s">
        <v>21</v>
      </c>
      <c r="L18" s="13" t="s">
        <v>1435</v>
      </c>
      <c r="M18" s="13" t="s">
        <v>1436</v>
      </c>
    </row>
    <row r="19" spans="1:13" ht="33.950000000000003" customHeight="1" x14ac:dyDescent="0.25">
      <c r="A19" s="16" t="s">
        <v>129</v>
      </c>
      <c r="B19" s="16" t="s">
        <v>130</v>
      </c>
      <c r="C19" s="16" t="s">
        <v>1499</v>
      </c>
      <c r="D19" s="16" t="s">
        <v>1500</v>
      </c>
      <c r="E19" s="16" t="s">
        <v>1501</v>
      </c>
      <c r="F19" s="16" t="s">
        <v>1502</v>
      </c>
      <c r="G19" s="16" t="s">
        <v>1503</v>
      </c>
      <c r="H19" s="16" t="s">
        <v>1504</v>
      </c>
      <c r="I19" s="16" t="s">
        <v>1434</v>
      </c>
      <c r="J19" s="16" t="s">
        <v>71</v>
      </c>
      <c r="K19" s="16" t="s">
        <v>21</v>
      </c>
      <c r="L19" s="16" t="s">
        <v>1435</v>
      </c>
      <c r="M19" s="16" t="s">
        <v>1436</v>
      </c>
    </row>
    <row r="20" spans="1:13" ht="33.950000000000003" customHeight="1" x14ac:dyDescent="0.25">
      <c r="A20" s="13" t="s">
        <v>133</v>
      </c>
      <c r="B20" s="13" t="s">
        <v>134</v>
      </c>
      <c r="C20" s="13" t="s">
        <v>1505</v>
      </c>
      <c r="D20" s="13" t="s">
        <v>1506</v>
      </c>
      <c r="E20" s="13" t="s">
        <v>1496</v>
      </c>
      <c r="F20" s="13" t="s">
        <v>1502</v>
      </c>
      <c r="G20" s="13" t="s">
        <v>1507</v>
      </c>
      <c r="H20" s="13" t="s">
        <v>1508</v>
      </c>
      <c r="I20" s="13" t="s">
        <v>1434</v>
      </c>
      <c r="J20" s="13" t="s">
        <v>71</v>
      </c>
      <c r="K20" s="13" t="s">
        <v>21</v>
      </c>
      <c r="L20" s="13" t="s">
        <v>1435</v>
      </c>
      <c r="M20" s="13" t="s">
        <v>1436</v>
      </c>
    </row>
    <row r="21" spans="1:13" ht="33.950000000000003" customHeight="1" x14ac:dyDescent="0.25">
      <c r="A21" s="16" t="s">
        <v>137</v>
      </c>
      <c r="B21" s="16" t="s">
        <v>138</v>
      </c>
      <c r="C21" s="16" t="s">
        <v>1509</v>
      </c>
      <c r="D21" s="16" t="s">
        <v>1510</v>
      </c>
      <c r="E21" s="16" t="s">
        <v>1496</v>
      </c>
      <c r="F21" s="16" t="s">
        <v>1502</v>
      </c>
      <c r="G21" s="16" t="s">
        <v>1511</v>
      </c>
      <c r="H21" s="16" t="s">
        <v>1512</v>
      </c>
      <c r="I21" s="16" t="s">
        <v>1434</v>
      </c>
      <c r="J21" s="16" t="s">
        <v>78</v>
      </c>
      <c r="K21" s="16" t="s">
        <v>21</v>
      </c>
      <c r="L21" s="16" t="s">
        <v>1435</v>
      </c>
      <c r="M21" s="16" t="s">
        <v>1436</v>
      </c>
    </row>
    <row r="22" spans="1:13" ht="33.950000000000003" customHeight="1" x14ac:dyDescent="0.25">
      <c r="A22" s="13" t="s">
        <v>140</v>
      </c>
      <c r="B22" s="13" t="s">
        <v>141</v>
      </c>
      <c r="C22" s="13" t="s">
        <v>1513</v>
      </c>
      <c r="D22" s="13" t="s">
        <v>1514</v>
      </c>
      <c r="E22" s="13" t="s">
        <v>1496</v>
      </c>
      <c r="F22" s="13" t="s">
        <v>1502</v>
      </c>
      <c r="G22" s="13" t="s">
        <v>1515</v>
      </c>
      <c r="H22" s="13" t="s">
        <v>1516</v>
      </c>
      <c r="I22" s="13" t="s">
        <v>1434</v>
      </c>
      <c r="J22" s="13" t="s">
        <v>78</v>
      </c>
      <c r="K22" s="13" t="s">
        <v>21</v>
      </c>
      <c r="L22" s="13" t="s">
        <v>1435</v>
      </c>
      <c r="M22" s="13" t="s">
        <v>1436</v>
      </c>
    </row>
    <row r="23" spans="1:13" ht="33.950000000000003" customHeight="1" x14ac:dyDescent="0.25">
      <c r="A23" s="16" t="s">
        <v>144</v>
      </c>
      <c r="B23" s="16" t="s">
        <v>145</v>
      </c>
      <c r="C23" s="16" t="s">
        <v>1517</v>
      </c>
      <c r="D23" s="16" t="s">
        <v>1518</v>
      </c>
      <c r="E23" s="16" t="s">
        <v>1496</v>
      </c>
      <c r="F23" s="16" t="s">
        <v>1502</v>
      </c>
      <c r="G23" s="16" t="s">
        <v>1519</v>
      </c>
      <c r="H23" s="16" t="s">
        <v>1520</v>
      </c>
      <c r="I23" s="16" t="s">
        <v>1434</v>
      </c>
      <c r="J23" s="16" t="s">
        <v>78</v>
      </c>
      <c r="K23" s="16" t="s">
        <v>21</v>
      </c>
      <c r="L23" s="16" t="s">
        <v>1435</v>
      </c>
      <c r="M23" s="16" t="s">
        <v>1436</v>
      </c>
    </row>
    <row r="24" spans="1:13" ht="33.950000000000003" customHeight="1" x14ac:dyDescent="0.25">
      <c r="A24" s="13" t="s">
        <v>148</v>
      </c>
      <c r="B24" s="13" t="s">
        <v>149</v>
      </c>
      <c r="C24" s="13" t="s">
        <v>1521</v>
      </c>
      <c r="D24" s="13" t="s">
        <v>1522</v>
      </c>
      <c r="E24" s="13" t="s">
        <v>1501</v>
      </c>
      <c r="F24" s="13" t="s">
        <v>1502</v>
      </c>
      <c r="G24" s="13" t="s">
        <v>1523</v>
      </c>
      <c r="H24" s="13" t="s">
        <v>1524</v>
      </c>
      <c r="I24" s="13" t="s">
        <v>1434</v>
      </c>
      <c r="J24" s="13" t="s">
        <v>78</v>
      </c>
      <c r="K24" s="13" t="s">
        <v>21</v>
      </c>
      <c r="L24" s="13" t="s">
        <v>1435</v>
      </c>
      <c r="M24" s="13" t="s">
        <v>1436</v>
      </c>
    </row>
    <row r="25" spans="1:13" ht="33.950000000000003" customHeight="1" x14ac:dyDescent="0.25">
      <c r="A25" s="16" t="s">
        <v>152</v>
      </c>
      <c r="B25" s="16" t="s">
        <v>153</v>
      </c>
      <c r="C25" s="16" t="s">
        <v>1525</v>
      </c>
      <c r="D25" s="16" t="s">
        <v>1526</v>
      </c>
      <c r="E25" s="16" t="s">
        <v>1496</v>
      </c>
      <c r="F25" s="16" t="s">
        <v>1527</v>
      </c>
      <c r="G25" s="16" t="s">
        <v>1453</v>
      </c>
      <c r="H25" s="16" t="s">
        <v>1528</v>
      </c>
      <c r="I25" s="16" t="s">
        <v>1434</v>
      </c>
      <c r="J25" s="16" t="s">
        <v>78</v>
      </c>
      <c r="K25" s="16" t="s">
        <v>21</v>
      </c>
      <c r="L25" s="16" t="s">
        <v>1435</v>
      </c>
      <c r="M25" s="16" t="s">
        <v>1436</v>
      </c>
    </row>
    <row r="26" spans="1:13" ht="33.950000000000003" customHeight="1" x14ac:dyDescent="0.25">
      <c r="A26" s="13" t="s">
        <v>155</v>
      </c>
      <c r="B26" s="13" t="s">
        <v>156</v>
      </c>
      <c r="C26" s="13" t="s">
        <v>1529</v>
      </c>
      <c r="D26" s="13" t="s">
        <v>1530</v>
      </c>
      <c r="E26" s="13" t="s">
        <v>1496</v>
      </c>
      <c r="F26" s="13" t="s">
        <v>1502</v>
      </c>
      <c r="G26" s="13" t="s">
        <v>1531</v>
      </c>
      <c r="H26" s="13" t="s">
        <v>1532</v>
      </c>
      <c r="I26" s="13" t="s">
        <v>1434</v>
      </c>
      <c r="J26" s="13" t="s">
        <v>94</v>
      </c>
      <c r="K26" s="13" t="s">
        <v>21</v>
      </c>
      <c r="L26" s="13" t="s">
        <v>1435</v>
      </c>
      <c r="M26" s="13" t="s">
        <v>1436</v>
      </c>
    </row>
    <row r="27" spans="1:13" ht="33.950000000000003" customHeight="1" x14ac:dyDescent="0.25">
      <c r="A27" s="16" t="s">
        <v>158</v>
      </c>
      <c r="B27" s="16" t="s">
        <v>159</v>
      </c>
      <c r="C27" s="16" t="s">
        <v>1533</v>
      </c>
      <c r="D27" s="16" t="s">
        <v>1534</v>
      </c>
      <c r="E27" s="16" t="s">
        <v>1496</v>
      </c>
      <c r="F27" s="16" t="s">
        <v>1535</v>
      </c>
      <c r="G27" s="16" t="s">
        <v>1536</v>
      </c>
      <c r="H27" s="16" t="s">
        <v>1537</v>
      </c>
      <c r="I27" s="16" t="s">
        <v>1434</v>
      </c>
      <c r="J27" s="16" t="s">
        <v>71</v>
      </c>
      <c r="K27" s="16" t="s">
        <v>21</v>
      </c>
      <c r="L27" s="16" t="s">
        <v>1435</v>
      </c>
      <c r="M27" s="16" t="s">
        <v>1436</v>
      </c>
    </row>
    <row r="28" spans="1:13" ht="33.950000000000003" customHeight="1" x14ac:dyDescent="0.25">
      <c r="A28" s="13" t="s">
        <v>163</v>
      </c>
      <c r="B28" s="13" t="s">
        <v>164</v>
      </c>
      <c r="C28" s="13" t="s">
        <v>1538</v>
      </c>
      <c r="D28" s="13" t="s">
        <v>1539</v>
      </c>
      <c r="E28" s="13" t="s">
        <v>1496</v>
      </c>
      <c r="F28" s="13" t="s">
        <v>1535</v>
      </c>
      <c r="G28" s="13" t="s">
        <v>1540</v>
      </c>
      <c r="H28" s="13" t="s">
        <v>1541</v>
      </c>
      <c r="I28" s="13" t="s">
        <v>1434</v>
      </c>
      <c r="J28" s="13" t="s">
        <v>71</v>
      </c>
      <c r="K28" s="13" t="s">
        <v>21</v>
      </c>
      <c r="L28" s="13" t="s">
        <v>1435</v>
      </c>
      <c r="M28" s="13" t="s">
        <v>1436</v>
      </c>
    </row>
    <row r="29" spans="1:13" ht="33.950000000000003" customHeight="1" x14ac:dyDescent="0.25">
      <c r="A29" s="16" t="s">
        <v>167</v>
      </c>
      <c r="B29" s="16" t="s">
        <v>168</v>
      </c>
      <c r="C29" s="16" t="s">
        <v>1542</v>
      </c>
      <c r="D29" s="16" t="s">
        <v>1543</v>
      </c>
      <c r="E29" s="16" t="s">
        <v>1496</v>
      </c>
      <c r="F29" s="16" t="s">
        <v>1535</v>
      </c>
      <c r="G29" s="16" t="s">
        <v>1544</v>
      </c>
      <c r="H29" s="16" t="s">
        <v>1545</v>
      </c>
      <c r="I29" s="16" t="s">
        <v>1434</v>
      </c>
      <c r="J29" s="16" t="s">
        <v>78</v>
      </c>
      <c r="K29" s="16" t="s">
        <v>21</v>
      </c>
      <c r="L29" s="16" t="s">
        <v>1435</v>
      </c>
      <c r="M29" s="16" t="s">
        <v>1436</v>
      </c>
    </row>
    <row r="30" spans="1:13" ht="33.950000000000003" customHeight="1" x14ac:dyDescent="0.25">
      <c r="A30" s="13" t="s">
        <v>171</v>
      </c>
      <c r="B30" s="13" t="s">
        <v>172</v>
      </c>
      <c r="C30" s="13" t="s">
        <v>1546</v>
      </c>
      <c r="D30" s="13" t="s">
        <v>1547</v>
      </c>
      <c r="E30" s="13" t="s">
        <v>1496</v>
      </c>
      <c r="F30" s="13" t="s">
        <v>1535</v>
      </c>
      <c r="G30" s="13" t="s">
        <v>1480</v>
      </c>
      <c r="H30" s="13" t="s">
        <v>1548</v>
      </c>
      <c r="I30" s="13" t="s">
        <v>1434</v>
      </c>
      <c r="J30" s="13" t="s">
        <v>71</v>
      </c>
      <c r="K30" s="13" t="s">
        <v>21</v>
      </c>
      <c r="L30" s="13" t="s">
        <v>1435</v>
      </c>
      <c r="M30" s="13" t="s">
        <v>1436</v>
      </c>
    </row>
    <row r="31" spans="1:13" ht="33.950000000000003" customHeight="1" x14ac:dyDescent="0.25">
      <c r="A31" s="20" t="s">
        <v>174</v>
      </c>
      <c r="B31" s="20" t="s">
        <v>175</v>
      </c>
      <c r="C31" s="20" t="s">
        <v>1549</v>
      </c>
      <c r="D31" s="20" t="s">
        <v>1550</v>
      </c>
      <c r="E31" s="20" t="s">
        <v>1501</v>
      </c>
      <c r="F31" s="20" t="s">
        <v>1535</v>
      </c>
      <c r="G31" s="20" t="s">
        <v>1551</v>
      </c>
      <c r="H31" s="20" t="s">
        <v>1552</v>
      </c>
      <c r="I31" s="20" t="s">
        <v>1434</v>
      </c>
      <c r="J31" s="20" t="s">
        <v>71</v>
      </c>
      <c r="K31" s="20" t="s">
        <v>21</v>
      </c>
      <c r="L31" s="20" t="s">
        <v>1435</v>
      </c>
      <c r="M31" s="20" t="s">
        <v>1436</v>
      </c>
    </row>
    <row r="32" spans="1:13" ht="33.950000000000003" customHeight="1" x14ac:dyDescent="0.25">
      <c r="A32" s="20" t="s">
        <v>178</v>
      </c>
      <c r="B32" s="20" t="s">
        <v>179</v>
      </c>
      <c r="C32" s="20" t="s">
        <v>1553</v>
      </c>
      <c r="D32" s="20" t="s">
        <v>1554</v>
      </c>
      <c r="E32" s="20" t="s">
        <v>1496</v>
      </c>
      <c r="F32" s="20" t="s">
        <v>1535</v>
      </c>
      <c r="G32" s="20" t="s">
        <v>1480</v>
      </c>
      <c r="H32" s="20" t="s">
        <v>1555</v>
      </c>
      <c r="I32" s="20" t="s">
        <v>1434</v>
      </c>
      <c r="J32" s="20" t="s">
        <v>94</v>
      </c>
      <c r="K32" s="20" t="s">
        <v>21</v>
      </c>
      <c r="L32" s="20" t="s">
        <v>1435</v>
      </c>
      <c r="M32" s="20" t="s">
        <v>1436</v>
      </c>
    </row>
    <row r="33" spans="1:13" ht="33.950000000000003" customHeight="1" x14ac:dyDescent="0.25">
      <c r="A33" s="20" t="s">
        <v>182</v>
      </c>
      <c r="B33" s="20" t="s">
        <v>183</v>
      </c>
      <c r="C33" s="20" t="s">
        <v>1556</v>
      </c>
      <c r="D33" s="20" t="s">
        <v>1557</v>
      </c>
      <c r="E33" s="20" t="s">
        <v>1496</v>
      </c>
      <c r="F33" s="20" t="s">
        <v>1558</v>
      </c>
      <c r="G33" s="20" t="s">
        <v>1480</v>
      </c>
      <c r="H33" s="20" t="s">
        <v>1559</v>
      </c>
      <c r="I33" s="20" t="s">
        <v>1434</v>
      </c>
      <c r="J33" s="20" t="s">
        <v>71</v>
      </c>
      <c r="K33" s="20" t="s">
        <v>21</v>
      </c>
      <c r="L33" s="20" t="s">
        <v>1435</v>
      </c>
      <c r="M33" s="20" t="s">
        <v>1436</v>
      </c>
    </row>
    <row r="34" spans="1:13" ht="33.950000000000003" customHeight="1" x14ac:dyDescent="0.25">
      <c r="A34" s="20" t="s">
        <v>188</v>
      </c>
      <c r="B34" s="20" t="s">
        <v>189</v>
      </c>
      <c r="C34" s="20" t="s">
        <v>1560</v>
      </c>
      <c r="D34" s="20" t="s">
        <v>1561</v>
      </c>
      <c r="E34" s="20" t="s">
        <v>1501</v>
      </c>
      <c r="F34" s="20" t="s">
        <v>1558</v>
      </c>
      <c r="G34" s="20" t="s">
        <v>1562</v>
      </c>
      <c r="H34" s="20" t="s">
        <v>1563</v>
      </c>
      <c r="I34" s="20" t="s">
        <v>1434</v>
      </c>
      <c r="J34" s="20" t="s">
        <v>71</v>
      </c>
      <c r="K34" s="20" t="s">
        <v>21</v>
      </c>
      <c r="L34" s="20" t="s">
        <v>1435</v>
      </c>
      <c r="M34" s="20" t="s">
        <v>1436</v>
      </c>
    </row>
    <row r="35" spans="1:13" ht="33.950000000000003" customHeight="1" x14ac:dyDescent="0.25">
      <c r="A35" s="20" t="s">
        <v>192</v>
      </c>
      <c r="B35" s="20" t="s">
        <v>193</v>
      </c>
      <c r="C35" s="20" t="s">
        <v>1564</v>
      </c>
      <c r="D35" s="20" t="s">
        <v>1565</v>
      </c>
      <c r="E35" s="20" t="s">
        <v>1496</v>
      </c>
      <c r="F35" s="20" t="s">
        <v>1558</v>
      </c>
      <c r="G35" s="20" t="s">
        <v>1480</v>
      </c>
      <c r="H35" s="20" t="s">
        <v>1566</v>
      </c>
      <c r="I35" s="20" t="s">
        <v>1434</v>
      </c>
      <c r="J35" s="20" t="s">
        <v>78</v>
      </c>
      <c r="K35" s="20" t="s">
        <v>21</v>
      </c>
      <c r="L35" s="20" t="s">
        <v>1435</v>
      </c>
      <c r="M35" s="20" t="s">
        <v>1436</v>
      </c>
    </row>
    <row r="36" spans="1:13" ht="33.950000000000003" customHeight="1" x14ac:dyDescent="0.25">
      <c r="A36" s="20" t="s">
        <v>195</v>
      </c>
      <c r="B36" s="20" t="s">
        <v>196</v>
      </c>
      <c r="C36" s="20" t="s">
        <v>1567</v>
      </c>
      <c r="D36" s="20" t="s">
        <v>1568</v>
      </c>
      <c r="E36" s="20" t="s">
        <v>1501</v>
      </c>
      <c r="F36" s="20" t="s">
        <v>1527</v>
      </c>
      <c r="G36" s="20" t="s">
        <v>1569</v>
      </c>
      <c r="H36" s="20" t="s">
        <v>1570</v>
      </c>
      <c r="I36" s="20" t="s">
        <v>1434</v>
      </c>
      <c r="J36" s="20" t="s">
        <v>71</v>
      </c>
      <c r="K36" s="20" t="s">
        <v>21</v>
      </c>
      <c r="L36" s="20" t="s">
        <v>1435</v>
      </c>
      <c r="M36" s="20" t="s">
        <v>1436</v>
      </c>
    </row>
    <row r="37" spans="1:13" ht="33.950000000000003" customHeight="1" x14ac:dyDescent="0.25">
      <c r="A37" s="20" t="s">
        <v>200</v>
      </c>
      <c r="B37" s="20" t="s">
        <v>201</v>
      </c>
      <c r="C37" s="20" t="s">
        <v>1571</v>
      </c>
      <c r="D37" s="20" t="s">
        <v>1572</v>
      </c>
      <c r="E37" s="20" t="s">
        <v>1496</v>
      </c>
      <c r="F37" s="20" t="s">
        <v>1558</v>
      </c>
      <c r="G37" s="20" t="s">
        <v>1573</v>
      </c>
      <c r="H37" s="20" t="s">
        <v>1574</v>
      </c>
      <c r="I37" s="20" t="s">
        <v>1434</v>
      </c>
      <c r="J37" s="20" t="s">
        <v>71</v>
      </c>
      <c r="K37" s="20" t="s">
        <v>21</v>
      </c>
      <c r="L37" s="20" t="s">
        <v>1435</v>
      </c>
      <c r="M37" s="20" t="s">
        <v>1436</v>
      </c>
    </row>
    <row r="38" spans="1:13" ht="33.950000000000003" customHeight="1" x14ac:dyDescent="0.25">
      <c r="A38" s="20" t="s">
        <v>204</v>
      </c>
      <c r="B38" s="20" t="s">
        <v>205</v>
      </c>
      <c r="C38" s="20" t="s">
        <v>1575</v>
      </c>
      <c r="D38" s="20" t="s">
        <v>1576</v>
      </c>
      <c r="E38" s="20" t="s">
        <v>1496</v>
      </c>
      <c r="F38" s="20" t="s">
        <v>1527</v>
      </c>
      <c r="G38" s="20" t="s">
        <v>1480</v>
      </c>
      <c r="H38" s="20" t="s">
        <v>1577</v>
      </c>
      <c r="I38" s="20" t="s">
        <v>1434</v>
      </c>
      <c r="J38" s="20" t="s">
        <v>78</v>
      </c>
      <c r="K38" s="20" t="s">
        <v>21</v>
      </c>
      <c r="L38" s="20" t="s">
        <v>1435</v>
      </c>
      <c r="M38" s="20" t="s">
        <v>1436</v>
      </c>
    </row>
    <row r="39" spans="1:13" ht="33.950000000000003" customHeight="1" x14ac:dyDescent="0.25">
      <c r="A39" s="20" t="s">
        <v>208</v>
      </c>
      <c r="B39" s="20" t="s">
        <v>209</v>
      </c>
      <c r="C39" s="20" t="s">
        <v>1578</v>
      </c>
      <c r="D39" s="20" t="s">
        <v>1579</v>
      </c>
      <c r="E39" s="20" t="s">
        <v>1496</v>
      </c>
      <c r="F39" s="20" t="s">
        <v>1527</v>
      </c>
      <c r="G39" s="20" t="s">
        <v>1523</v>
      </c>
      <c r="H39" s="20" t="s">
        <v>1580</v>
      </c>
      <c r="I39" s="20" t="s">
        <v>1434</v>
      </c>
      <c r="J39" s="20" t="s">
        <v>94</v>
      </c>
      <c r="K39" s="20" t="s">
        <v>21</v>
      </c>
      <c r="L39" s="20" t="s">
        <v>1435</v>
      </c>
      <c r="M39" s="20" t="s">
        <v>1436</v>
      </c>
    </row>
    <row r="40" spans="1:13" ht="33.950000000000003" customHeight="1" x14ac:dyDescent="0.25">
      <c r="A40" s="20" t="s">
        <v>213</v>
      </c>
      <c r="B40" s="20" t="s">
        <v>214</v>
      </c>
      <c r="C40" s="20" t="s">
        <v>1581</v>
      </c>
      <c r="D40" s="20" t="s">
        <v>1582</v>
      </c>
      <c r="E40" s="20" t="s">
        <v>1496</v>
      </c>
      <c r="F40" s="20" t="s">
        <v>1583</v>
      </c>
      <c r="G40" s="20" t="s">
        <v>1584</v>
      </c>
      <c r="H40" s="20" t="s">
        <v>1585</v>
      </c>
      <c r="I40" s="20" t="s">
        <v>1434</v>
      </c>
      <c r="J40" s="20" t="s">
        <v>71</v>
      </c>
      <c r="K40" s="20" t="s">
        <v>21</v>
      </c>
      <c r="L40" s="20" t="s">
        <v>1435</v>
      </c>
      <c r="M40" s="20" t="s">
        <v>1436</v>
      </c>
    </row>
    <row r="41" spans="1:13" ht="33.950000000000003" customHeight="1" x14ac:dyDescent="0.25">
      <c r="A41" s="20" t="s">
        <v>217</v>
      </c>
      <c r="B41" s="20" t="s">
        <v>218</v>
      </c>
      <c r="C41" s="20" t="s">
        <v>1586</v>
      </c>
      <c r="D41" s="20" t="s">
        <v>1587</v>
      </c>
      <c r="E41" s="20" t="s">
        <v>1501</v>
      </c>
      <c r="F41" s="20" t="s">
        <v>1527</v>
      </c>
      <c r="G41" s="20" t="s">
        <v>1588</v>
      </c>
      <c r="H41" s="20" t="s">
        <v>1589</v>
      </c>
      <c r="I41" s="20" t="s">
        <v>1434</v>
      </c>
      <c r="J41" s="20" t="s">
        <v>71</v>
      </c>
      <c r="K41" s="20" t="s">
        <v>21</v>
      </c>
      <c r="L41" s="20" t="s">
        <v>1435</v>
      </c>
      <c r="M41" s="20" t="s">
        <v>1436</v>
      </c>
    </row>
    <row r="42" spans="1:13" ht="33.950000000000003" customHeight="1" x14ac:dyDescent="0.25">
      <c r="A42" s="20" t="s">
        <v>221</v>
      </c>
      <c r="B42" s="20" t="s">
        <v>222</v>
      </c>
      <c r="C42" s="20" t="s">
        <v>1590</v>
      </c>
      <c r="D42" s="20" t="s">
        <v>1591</v>
      </c>
      <c r="E42" s="20" t="s">
        <v>1496</v>
      </c>
      <c r="F42" s="20" t="s">
        <v>1592</v>
      </c>
      <c r="G42" s="20" t="s">
        <v>1593</v>
      </c>
      <c r="H42" s="20" t="s">
        <v>1594</v>
      </c>
      <c r="I42" s="20" t="s">
        <v>1434</v>
      </c>
      <c r="J42" s="20" t="s">
        <v>78</v>
      </c>
      <c r="K42" s="20" t="s">
        <v>21</v>
      </c>
      <c r="L42" s="20" t="s">
        <v>1435</v>
      </c>
      <c r="M42" s="20" t="s">
        <v>1436</v>
      </c>
    </row>
    <row r="43" spans="1:13" ht="33.950000000000003" customHeight="1" x14ac:dyDescent="0.25">
      <c r="A43" s="20" t="s">
        <v>225</v>
      </c>
      <c r="B43" s="20" t="s">
        <v>226</v>
      </c>
      <c r="C43" s="20" t="s">
        <v>1595</v>
      </c>
      <c r="D43" s="20" t="s">
        <v>1596</v>
      </c>
      <c r="E43" s="20" t="s">
        <v>1496</v>
      </c>
      <c r="F43" s="20" t="s">
        <v>1592</v>
      </c>
      <c r="G43" s="20" t="s">
        <v>1480</v>
      </c>
      <c r="H43" s="20" t="s">
        <v>1597</v>
      </c>
      <c r="I43" s="20" t="s">
        <v>1434</v>
      </c>
      <c r="J43" s="20" t="s">
        <v>71</v>
      </c>
      <c r="K43" s="20" t="s">
        <v>21</v>
      </c>
      <c r="L43" s="20" t="s">
        <v>1435</v>
      </c>
      <c r="M43" s="20" t="s">
        <v>1436</v>
      </c>
    </row>
    <row r="44" spans="1:13" ht="33.950000000000003" customHeight="1" x14ac:dyDescent="0.25">
      <c r="A44" s="20" t="s">
        <v>228</v>
      </c>
      <c r="B44" s="20" t="s">
        <v>229</v>
      </c>
      <c r="C44" s="20" t="s">
        <v>1598</v>
      </c>
      <c r="D44" s="20" t="s">
        <v>1599</v>
      </c>
      <c r="E44" s="20" t="s">
        <v>1600</v>
      </c>
      <c r="F44" s="20" t="s">
        <v>1601</v>
      </c>
      <c r="G44" s="20" t="s">
        <v>1480</v>
      </c>
      <c r="H44" s="20" t="s">
        <v>1602</v>
      </c>
      <c r="I44" s="20" t="s">
        <v>1434</v>
      </c>
      <c r="J44" s="20" t="s">
        <v>71</v>
      </c>
      <c r="K44" s="20" t="s">
        <v>21</v>
      </c>
      <c r="L44" s="20" t="s">
        <v>1435</v>
      </c>
      <c r="M44" s="20" t="s">
        <v>1436</v>
      </c>
    </row>
    <row r="45" spans="1:13" ht="33.950000000000003" customHeight="1" x14ac:dyDescent="0.25">
      <c r="A45" s="20" t="s">
        <v>232</v>
      </c>
      <c r="B45" s="20" t="s">
        <v>233</v>
      </c>
      <c r="C45" s="20" t="s">
        <v>1603</v>
      </c>
      <c r="D45" s="20" t="s">
        <v>1604</v>
      </c>
      <c r="E45" s="20" t="s">
        <v>1496</v>
      </c>
      <c r="F45" s="20" t="s">
        <v>1605</v>
      </c>
      <c r="G45" s="20" t="s">
        <v>1606</v>
      </c>
      <c r="H45" s="20" t="s">
        <v>1607</v>
      </c>
      <c r="I45" s="20" t="s">
        <v>1434</v>
      </c>
      <c r="J45" s="20" t="s">
        <v>71</v>
      </c>
      <c r="K45" s="20" t="s">
        <v>21</v>
      </c>
      <c r="L45" s="20" t="s">
        <v>1435</v>
      </c>
      <c r="M45" s="20" t="s">
        <v>1436</v>
      </c>
    </row>
    <row r="46" spans="1:13" ht="33.950000000000003" customHeight="1" x14ac:dyDescent="0.25">
      <c r="A46" s="20" t="s">
        <v>236</v>
      </c>
      <c r="B46" s="20" t="s">
        <v>237</v>
      </c>
      <c r="C46" s="20" t="s">
        <v>1608</v>
      </c>
      <c r="D46" s="20" t="s">
        <v>1609</v>
      </c>
      <c r="E46" s="20" t="s">
        <v>1496</v>
      </c>
      <c r="F46" s="20" t="s">
        <v>1605</v>
      </c>
      <c r="G46" s="20" t="s">
        <v>1610</v>
      </c>
      <c r="H46" s="20" t="s">
        <v>1611</v>
      </c>
      <c r="I46" s="20" t="s">
        <v>1434</v>
      </c>
      <c r="J46" s="20" t="s">
        <v>71</v>
      </c>
      <c r="K46" s="20" t="s">
        <v>21</v>
      </c>
      <c r="L46" s="20" t="s">
        <v>1435</v>
      </c>
      <c r="M46" s="20" t="s">
        <v>1436</v>
      </c>
    </row>
    <row r="47" spans="1:13" ht="33.950000000000003" customHeight="1" x14ac:dyDescent="0.25">
      <c r="A47" s="20" t="s">
        <v>240</v>
      </c>
      <c r="B47" s="20" t="s">
        <v>241</v>
      </c>
      <c r="C47" s="20" t="s">
        <v>1612</v>
      </c>
      <c r="D47" s="20" t="s">
        <v>1613</v>
      </c>
      <c r="E47" s="20" t="s">
        <v>1496</v>
      </c>
      <c r="F47" s="20" t="s">
        <v>1605</v>
      </c>
      <c r="G47" s="20" t="s">
        <v>1614</v>
      </c>
      <c r="H47" s="20" t="s">
        <v>1615</v>
      </c>
      <c r="I47" s="20" t="s">
        <v>1434</v>
      </c>
      <c r="J47" s="20" t="s">
        <v>71</v>
      </c>
      <c r="K47" s="20" t="s">
        <v>21</v>
      </c>
      <c r="L47" s="20" t="s">
        <v>1435</v>
      </c>
      <c r="M47" s="20" t="s">
        <v>1436</v>
      </c>
    </row>
    <row r="48" spans="1:13" ht="33.950000000000003" customHeight="1" x14ac:dyDescent="0.25">
      <c r="A48" s="20" t="s">
        <v>243</v>
      </c>
      <c r="B48" s="20" t="s">
        <v>244</v>
      </c>
      <c r="C48" s="20" t="s">
        <v>1616</v>
      </c>
      <c r="D48" s="20" t="s">
        <v>1617</v>
      </c>
      <c r="E48" s="20" t="s">
        <v>1496</v>
      </c>
      <c r="F48" s="20" t="s">
        <v>1605</v>
      </c>
      <c r="G48" s="20" t="s">
        <v>1618</v>
      </c>
      <c r="H48" s="20" t="s">
        <v>1619</v>
      </c>
      <c r="I48" s="20" t="s">
        <v>1434</v>
      </c>
      <c r="J48" s="20" t="s">
        <v>71</v>
      </c>
      <c r="K48" s="20" t="s">
        <v>21</v>
      </c>
      <c r="L48" s="20" t="s">
        <v>1435</v>
      </c>
      <c r="M48" s="20" t="s">
        <v>1436</v>
      </c>
    </row>
    <row r="49" spans="1:13" ht="33.950000000000003" customHeight="1" x14ac:dyDescent="0.25">
      <c r="A49" s="20" t="s">
        <v>246</v>
      </c>
      <c r="B49" s="20" t="s">
        <v>247</v>
      </c>
      <c r="C49" s="20" t="s">
        <v>1620</v>
      </c>
      <c r="D49" s="20" t="s">
        <v>1621</v>
      </c>
      <c r="E49" s="20" t="s">
        <v>1600</v>
      </c>
      <c r="F49" s="20" t="s">
        <v>1605</v>
      </c>
      <c r="G49" s="20" t="s">
        <v>1622</v>
      </c>
      <c r="H49" s="20" t="s">
        <v>1623</v>
      </c>
      <c r="I49" s="20" t="s">
        <v>1434</v>
      </c>
      <c r="J49" s="20" t="s">
        <v>71</v>
      </c>
      <c r="K49" s="20" t="s">
        <v>21</v>
      </c>
      <c r="L49" s="20" t="s">
        <v>1435</v>
      </c>
      <c r="M49" s="20" t="s">
        <v>1436</v>
      </c>
    </row>
    <row r="50" spans="1:13" ht="33.950000000000003" customHeight="1" x14ac:dyDescent="0.25">
      <c r="A50" s="20" t="s">
        <v>249</v>
      </c>
      <c r="B50" s="20" t="s">
        <v>250</v>
      </c>
      <c r="C50" s="20" t="s">
        <v>1624</v>
      </c>
      <c r="D50" s="20" t="s">
        <v>1625</v>
      </c>
      <c r="E50" s="20" t="s">
        <v>1496</v>
      </c>
      <c r="F50" s="20" t="s">
        <v>1605</v>
      </c>
      <c r="G50" s="20" t="s">
        <v>1480</v>
      </c>
      <c r="H50" s="20" t="s">
        <v>1626</v>
      </c>
      <c r="I50" s="20" t="s">
        <v>1434</v>
      </c>
      <c r="J50" s="20" t="s">
        <v>78</v>
      </c>
      <c r="K50" s="20" t="s">
        <v>21</v>
      </c>
      <c r="L50" s="20" t="s">
        <v>1435</v>
      </c>
      <c r="M50" s="20" t="s">
        <v>1436</v>
      </c>
    </row>
    <row r="51" spans="1:13" ht="33.950000000000003" customHeight="1" x14ac:dyDescent="0.25">
      <c r="A51" s="20" t="s">
        <v>253</v>
      </c>
      <c r="B51" s="20" t="s">
        <v>254</v>
      </c>
      <c r="C51" s="20" t="s">
        <v>1627</v>
      </c>
      <c r="D51" s="20" t="s">
        <v>1628</v>
      </c>
      <c r="E51" s="20" t="s">
        <v>1496</v>
      </c>
      <c r="F51" s="20" t="s">
        <v>1527</v>
      </c>
      <c r="G51" s="20" t="s">
        <v>1480</v>
      </c>
      <c r="H51" s="20" t="s">
        <v>1629</v>
      </c>
      <c r="I51" s="20" t="s">
        <v>1434</v>
      </c>
      <c r="J51" s="20" t="s">
        <v>78</v>
      </c>
      <c r="K51" s="20" t="s">
        <v>21</v>
      </c>
      <c r="L51" s="20" t="s">
        <v>1435</v>
      </c>
      <c r="M51" s="20" t="s">
        <v>1436</v>
      </c>
    </row>
    <row r="52" spans="1:13" ht="33.950000000000003" customHeight="1" x14ac:dyDescent="0.25">
      <c r="A52" s="20" t="s">
        <v>256</v>
      </c>
      <c r="B52" s="20" t="s">
        <v>257</v>
      </c>
      <c r="C52" s="20" t="s">
        <v>1630</v>
      </c>
      <c r="D52" s="20" t="s">
        <v>1631</v>
      </c>
      <c r="E52" s="20" t="s">
        <v>1632</v>
      </c>
      <c r="F52" s="20" t="s">
        <v>1633</v>
      </c>
      <c r="G52" s="20" t="s">
        <v>1634</v>
      </c>
      <c r="H52" s="20" t="s">
        <v>1635</v>
      </c>
      <c r="I52" s="20" t="s">
        <v>1434</v>
      </c>
      <c r="J52" s="20" t="s">
        <v>71</v>
      </c>
      <c r="K52" s="20" t="s">
        <v>21</v>
      </c>
      <c r="L52" s="20" t="s">
        <v>1435</v>
      </c>
      <c r="M52" s="20" t="s">
        <v>1436</v>
      </c>
    </row>
    <row r="53" spans="1:13" ht="33.950000000000003" customHeight="1" x14ac:dyDescent="0.25">
      <c r="A53" s="20" t="s">
        <v>260</v>
      </c>
      <c r="B53" s="20" t="s">
        <v>261</v>
      </c>
      <c r="C53" s="20" t="s">
        <v>1636</v>
      </c>
      <c r="D53" s="20" t="s">
        <v>1637</v>
      </c>
      <c r="E53" s="20" t="s">
        <v>1632</v>
      </c>
      <c r="F53" s="20" t="s">
        <v>1527</v>
      </c>
      <c r="G53" s="20" t="s">
        <v>1638</v>
      </c>
      <c r="H53" s="20" t="s">
        <v>1639</v>
      </c>
      <c r="I53" s="20" t="s">
        <v>1434</v>
      </c>
      <c r="J53" s="20" t="s">
        <v>71</v>
      </c>
      <c r="K53" s="20" t="s">
        <v>21</v>
      </c>
      <c r="L53" s="20" t="s">
        <v>1435</v>
      </c>
      <c r="M53" s="20" t="s">
        <v>1436</v>
      </c>
    </row>
    <row r="54" spans="1:13" ht="33.950000000000003" customHeight="1" x14ac:dyDescent="0.25">
      <c r="A54" s="20" t="s">
        <v>264</v>
      </c>
      <c r="B54" s="20" t="s">
        <v>265</v>
      </c>
      <c r="C54" s="20" t="s">
        <v>1640</v>
      </c>
      <c r="D54" s="20" t="s">
        <v>1641</v>
      </c>
      <c r="E54" s="20" t="s">
        <v>1632</v>
      </c>
      <c r="F54" s="20" t="s">
        <v>1633</v>
      </c>
      <c r="G54" s="20" t="s">
        <v>1642</v>
      </c>
      <c r="H54" s="20" t="s">
        <v>1643</v>
      </c>
      <c r="I54" s="20" t="s">
        <v>1434</v>
      </c>
      <c r="J54" s="20" t="s">
        <v>71</v>
      </c>
      <c r="K54" s="20" t="s">
        <v>21</v>
      </c>
      <c r="L54" s="20" t="s">
        <v>1435</v>
      </c>
      <c r="M54" s="20" t="s">
        <v>1436</v>
      </c>
    </row>
    <row r="55" spans="1:13" ht="33.950000000000003" customHeight="1" x14ac:dyDescent="0.25">
      <c r="A55" s="20" t="s">
        <v>267</v>
      </c>
      <c r="B55" s="20" t="s">
        <v>268</v>
      </c>
      <c r="C55" s="20" t="s">
        <v>1644</v>
      </c>
      <c r="D55" s="20" t="s">
        <v>1645</v>
      </c>
      <c r="E55" s="20" t="s">
        <v>1632</v>
      </c>
      <c r="F55" s="20" t="s">
        <v>1646</v>
      </c>
      <c r="G55" s="20" t="s">
        <v>1647</v>
      </c>
      <c r="H55" s="20" t="s">
        <v>1648</v>
      </c>
      <c r="I55" s="20" t="s">
        <v>1434</v>
      </c>
      <c r="J55" s="20" t="s">
        <v>78</v>
      </c>
      <c r="K55" s="20" t="s">
        <v>21</v>
      </c>
      <c r="L55" s="20" t="s">
        <v>1435</v>
      </c>
      <c r="M55" s="20" t="s">
        <v>1436</v>
      </c>
    </row>
    <row r="56" spans="1:13" ht="33.950000000000003" customHeight="1" x14ac:dyDescent="0.25">
      <c r="A56" s="20" t="s">
        <v>272</v>
      </c>
      <c r="B56" s="20" t="s">
        <v>273</v>
      </c>
      <c r="C56" s="20" t="s">
        <v>1649</v>
      </c>
      <c r="D56" s="20" t="s">
        <v>1650</v>
      </c>
      <c r="E56" s="20" t="s">
        <v>1632</v>
      </c>
      <c r="F56" s="20" t="s">
        <v>1646</v>
      </c>
      <c r="G56" s="20" t="s">
        <v>1480</v>
      </c>
      <c r="H56" s="20" t="s">
        <v>1651</v>
      </c>
      <c r="I56" s="20" t="s">
        <v>1434</v>
      </c>
      <c r="J56" s="20" t="s">
        <v>78</v>
      </c>
      <c r="K56" s="20" t="s">
        <v>21</v>
      </c>
      <c r="L56" s="20" t="s">
        <v>1435</v>
      </c>
      <c r="M56" s="20" t="s">
        <v>1436</v>
      </c>
    </row>
    <row r="57" spans="1:13" ht="33.950000000000003" customHeight="1" x14ac:dyDescent="0.25">
      <c r="A57" s="20" t="s">
        <v>276</v>
      </c>
      <c r="B57" s="20" t="s">
        <v>277</v>
      </c>
      <c r="C57" s="20" t="s">
        <v>1652</v>
      </c>
      <c r="D57" s="20" t="s">
        <v>1653</v>
      </c>
      <c r="E57" s="20" t="s">
        <v>1632</v>
      </c>
      <c r="F57" s="20" t="s">
        <v>1527</v>
      </c>
      <c r="G57" s="20" t="s">
        <v>1453</v>
      </c>
      <c r="H57" s="20" t="s">
        <v>1654</v>
      </c>
      <c r="I57" s="20" t="s">
        <v>1434</v>
      </c>
      <c r="J57" s="20" t="s">
        <v>71</v>
      </c>
      <c r="K57" s="20" t="s">
        <v>21</v>
      </c>
      <c r="L57" s="20" t="s">
        <v>1435</v>
      </c>
      <c r="M57" s="20" t="s">
        <v>1436</v>
      </c>
    </row>
    <row r="58" spans="1:13" ht="33.950000000000003" customHeight="1" x14ac:dyDescent="0.25">
      <c r="A58" s="20" t="s">
        <v>280</v>
      </c>
      <c r="B58" s="20" t="s">
        <v>281</v>
      </c>
      <c r="C58" s="20" t="s">
        <v>1655</v>
      </c>
      <c r="D58" s="20" t="s">
        <v>1656</v>
      </c>
      <c r="E58" s="20" t="s">
        <v>1632</v>
      </c>
      <c r="F58" s="20" t="s">
        <v>1646</v>
      </c>
      <c r="G58" s="20" t="s">
        <v>1480</v>
      </c>
      <c r="H58" s="20" t="s">
        <v>1657</v>
      </c>
      <c r="I58" s="20" t="s">
        <v>1434</v>
      </c>
      <c r="J58" s="20" t="s">
        <v>78</v>
      </c>
      <c r="K58" s="20" t="s">
        <v>21</v>
      </c>
      <c r="L58" s="20" t="s">
        <v>1435</v>
      </c>
      <c r="M58" s="20" t="s">
        <v>1436</v>
      </c>
    </row>
    <row r="59" spans="1:13" ht="33.950000000000003" customHeight="1" x14ac:dyDescent="0.25">
      <c r="A59" s="20" t="s">
        <v>284</v>
      </c>
      <c r="B59" s="20" t="s">
        <v>285</v>
      </c>
      <c r="C59" s="20" t="s">
        <v>1658</v>
      </c>
      <c r="D59" s="20" t="s">
        <v>1659</v>
      </c>
      <c r="E59" s="20" t="s">
        <v>1496</v>
      </c>
      <c r="F59" s="20" t="s">
        <v>1660</v>
      </c>
      <c r="G59" s="20" t="s">
        <v>1480</v>
      </c>
      <c r="H59" s="20" t="s">
        <v>1661</v>
      </c>
      <c r="I59" s="20" t="s">
        <v>1434</v>
      </c>
      <c r="J59" s="20" t="s">
        <v>71</v>
      </c>
      <c r="K59" s="20" t="s">
        <v>21</v>
      </c>
      <c r="L59" s="20" t="s">
        <v>1435</v>
      </c>
      <c r="M59" s="20" t="s">
        <v>1436</v>
      </c>
    </row>
    <row r="60" spans="1:13" ht="33.950000000000003" customHeight="1" x14ac:dyDescent="0.25">
      <c r="A60" s="20" t="s">
        <v>288</v>
      </c>
      <c r="B60" s="20" t="s">
        <v>289</v>
      </c>
      <c r="C60" s="20" t="s">
        <v>1662</v>
      </c>
      <c r="D60" s="20" t="s">
        <v>1663</v>
      </c>
      <c r="E60" s="20" t="s">
        <v>1496</v>
      </c>
      <c r="F60" s="20" t="s">
        <v>1664</v>
      </c>
      <c r="G60" s="20" t="s">
        <v>1665</v>
      </c>
      <c r="H60" s="20" t="s">
        <v>1666</v>
      </c>
      <c r="I60" s="20" t="s">
        <v>1434</v>
      </c>
      <c r="J60" s="20" t="s">
        <v>78</v>
      </c>
      <c r="K60" s="20" t="s">
        <v>21</v>
      </c>
      <c r="L60" s="20" t="s">
        <v>1435</v>
      </c>
      <c r="M60" s="20" t="s">
        <v>1436</v>
      </c>
    </row>
    <row r="61" spans="1:13" ht="33.950000000000003" customHeight="1" x14ac:dyDescent="0.25">
      <c r="A61" s="20" t="s">
        <v>292</v>
      </c>
      <c r="B61" s="20" t="s">
        <v>293</v>
      </c>
      <c r="C61" s="20" t="s">
        <v>1667</v>
      </c>
      <c r="D61" s="20" t="s">
        <v>1668</v>
      </c>
      <c r="E61" s="20" t="s">
        <v>1496</v>
      </c>
      <c r="F61" s="20" t="s">
        <v>1664</v>
      </c>
      <c r="G61" s="20" t="s">
        <v>1669</v>
      </c>
      <c r="H61" s="20" t="s">
        <v>1670</v>
      </c>
      <c r="I61" s="20" t="s">
        <v>1434</v>
      </c>
      <c r="J61" s="20" t="s">
        <v>71</v>
      </c>
      <c r="K61" s="20" t="s">
        <v>21</v>
      </c>
      <c r="L61" s="20" t="s">
        <v>1435</v>
      </c>
      <c r="M61" s="20" t="s">
        <v>1436</v>
      </c>
    </row>
    <row r="62" spans="1:13" ht="33.950000000000003" customHeight="1" x14ac:dyDescent="0.25">
      <c r="A62" s="20" t="s">
        <v>296</v>
      </c>
      <c r="B62" s="20" t="s">
        <v>297</v>
      </c>
      <c r="C62" s="20" t="s">
        <v>1671</v>
      </c>
      <c r="D62" s="20" t="s">
        <v>1672</v>
      </c>
      <c r="E62" s="20" t="s">
        <v>1496</v>
      </c>
      <c r="F62" s="20" t="s">
        <v>1664</v>
      </c>
      <c r="G62" s="20" t="s">
        <v>1673</v>
      </c>
      <c r="H62" s="20" t="s">
        <v>1674</v>
      </c>
      <c r="I62" s="20" t="s">
        <v>1434</v>
      </c>
      <c r="J62" s="20" t="s">
        <v>71</v>
      </c>
      <c r="K62" s="20" t="s">
        <v>21</v>
      </c>
      <c r="L62" s="20" t="s">
        <v>1435</v>
      </c>
      <c r="M62" s="20" t="s">
        <v>1436</v>
      </c>
    </row>
    <row r="63" spans="1:13" ht="33.950000000000003" customHeight="1" x14ac:dyDescent="0.25">
      <c r="A63" s="20" t="s">
        <v>300</v>
      </c>
      <c r="B63" s="20" t="s">
        <v>301</v>
      </c>
      <c r="C63" s="20" t="s">
        <v>1675</v>
      </c>
      <c r="D63" s="20" t="s">
        <v>1676</v>
      </c>
      <c r="E63" s="20" t="s">
        <v>1600</v>
      </c>
      <c r="F63" s="20" t="s">
        <v>1527</v>
      </c>
      <c r="G63" s="20" t="s">
        <v>1480</v>
      </c>
      <c r="H63" s="20" t="s">
        <v>1677</v>
      </c>
      <c r="I63" s="20" t="s">
        <v>1434</v>
      </c>
      <c r="J63" s="20" t="s">
        <v>78</v>
      </c>
      <c r="K63" s="20" t="s">
        <v>21</v>
      </c>
      <c r="L63" s="20" t="s">
        <v>1435</v>
      </c>
      <c r="M63" s="20" t="s">
        <v>1436</v>
      </c>
    </row>
    <row r="64" spans="1:13" ht="33.950000000000003" customHeight="1" x14ac:dyDescent="0.25">
      <c r="A64" s="20" t="s">
        <v>304</v>
      </c>
      <c r="B64" s="20" t="s">
        <v>305</v>
      </c>
      <c r="C64" s="20" t="s">
        <v>1678</v>
      </c>
      <c r="D64" s="20" t="s">
        <v>1679</v>
      </c>
      <c r="E64" s="20" t="s">
        <v>1496</v>
      </c>
      <c r="F64" s="20" t="s">
        <v>1527</v>
      </c>
      <c r="G64" s="20" t="s">
        <v>1480</v>
      </c>
      <c r="H64" s="20" t="s">
        <v>1680</v>
      </c>
      <c r="I64" s="20" t="s">
        <v>1434</v>
      </c>
      <c r="J64" s="20" t="s">
        <v>71</v>
      </c>
      <c r="K64" s="20" t="s">
        <v>21</v>
      </c>
      <c r="L64" s="20" t="s">
        <v>1435</v>
      </c>
      <c r="M64" s="20" t="s">
        <v>1436</v>
      </c>
    </row>
    <row r="65" spans="1:13" ht="33.950000000000003" customHeight="1" x14ac:dyDescent="0.25">
      <c r="A65" s="20" t="s">
        <v>308</v>
      </c>
      <c r="B65" s="20" t="s">
        <v>309</v>
      </c>
      <c r="C65" s="20" t="s">
        <v>1681</v>
      </c>
      <c r="D65" s="20" t="s">
        <v>1682</v>
      </c>
      <c r="E65" s="20" t="s">
        <v>1600</v>
      </c>
      <c r="F65" s="20" t="s">
        <v>1664</v>
      </c>
      <c r="G65" s="20" t="s">
        <v>1480</v>
      </c>
      <c r="H65" s="20" t="s">
        <v>1683</v>
      </c>
      <c r="I65" s="20" t="s">
        <v>1434</v>
      </c>
      <c r="J65" s="20" t="s">
        <v>78</v>
      </c>
      <c r="K65" s="20" t="s">
        <v>21</v>
      </c>
      <c r="L65" s="20" t="s">
        <v>1435</v>
      </c>
      <c r="M65" s="20" t="s">
        <v>1436</v>
      </c>
    </row>
    <row r="66" spans="1:13" ht="33.950000000000003" customHeight="1" x14ac:dyDescent="0.25">
      <c r="A66" s="20" t="s">
        <v>312</v>
      </c>
      <c r="B66" s="20" t="s">
        <v>313</v>
      </c>
      <c r="C66" s="20" t="s">
        <v>1684</v>
      </c>
      <c r="D66" s="20" t="s">
        <v>1685</v>
      </c>
      <c r="E66" s="20" t="s">
        <v>1600</v>
      </c>
      <c r="F66" s="20" t="s">
        <v>1686</v>
      </c>
      <c r="G66" s="20" t="s">
        <v>1687</v>
      </c>
      <c r="H66" s="20" t="s">
        <v>1688</v>
      </c>
      <c r="I66" s="20" t="s">
        <v>1434</v>
      </c>
      <c r="J66" s="20" t="s">
        <v>71</v>
      </c>
      <c r="K66" s="20" t="s">
        <v>21</v>
      </c>
      <c r="L66" s="20" t="s">
        <v>1435</v>
      </c>
      <c r="M66" s="20" t="s">
        <v>1436</v>
      </c>
    </row>
    <row r="67" spans="1:13" ht="33.950000000000003" customHeight="1" x14ac:dyDescent="0.25">
      <c r="A67" s="20" t="s">
        <v>316</v>
      </c>
      <c r="B67" s="20" t="s">
        <v>317</v>
      </c>
      <c r="C67" s="20" t="s">
        <v>1689</v>
      </c>
      <c r="D67" s="20" t="s">
        <v>1690</v>
      </c>
      <c r="E67" s="20" t="s">
        <v>1600</v>
      </c>
      <c r="F67" s="20" t="s">
        <v>1691</v>
      </c>
      <c r="G67" s="20" t="s">
        <v>1692</v>
      </c>
      <c r="H67" s="20" t="s">
        <v>1693</v>
      </c>
      <c r="I67" s="20" t="s">
        <v>1434</v>
      </c>
      <c r="J67" s="20" t="s">
        <v>78</v>
      </c>
      <c r="K67" s="20" t="s">
        <v>21</v>
      </c>
      <c r="L67" s="20" t="s">
        <v>1435</v>
      </c>
      <c r="M67" s="20" t="s">
        <v>1436</v>
      </c>
    </row>
    <row r="68" spans="1:13" ht="33.950000000000003" customHeight="1" x14ac:dyDescent="0.25">
      <c r="A68" s="20" t="s">
        <v>320</v>
      </c>
      <c r="B68" s="20" t="s">
        <v>321</v>
      </c>
      <c r="C68" s="20" t="s">
        <v>1694</v>
      </c>
      <c r="D68" s="20" t="s">
        <v>1695</v>
      </c>
      <c r="E68" s="20" t="s">
        <v>1430</v>
      </c>
      <c r="F68" s="20" t="s">
        <v>1527</v>
      </c>
      <c r="G68" s="20" t="s">
        <v>1696</v>
      </c>
      <c r="H68" s="20" t="s">
        <v>1697</v>
      </c>
      <c r="I68" s="20" t="s">
        <v>1434</v>
      </c>
      <c r="J68" s="20" t="s">
        <v>78</v>
      </c>
      <c r="K68" s="20" t="s">
        <v>21</v>
      </c>
      <c r="L68" s="20" t="s">
        <v>1435</v>
      </c>
      <c r="M68" s="20" t="s">
        <v>1436</v>
      </c>
    </row>
    <row r="69" spans="1:13" ht="33.950000000000003" customHeight="1" x14ac:dyDescent="0.25">
      <c r="A69" s="20" t="s">
        <v>323</v>
      </c>
      <c r="B69" s="20" t="s">
        <v>324</v>
      </c>
      <c r="C69" s="20" t="s">
        <v>1698</v>
      </c>
      <c r="D69" s="20" t="s">
        <v>1699</v>
      </c>
      <c r="E69" s="20" t="s">
        <v>1496</v>
      </c>
      <c r="F69" s="20" t="s">
        <v>1700</v>
      </c>
      <c r="G69" s="20" t="s">
        <v>1701</v>
      </c>
      <c r="H69" s="20" t="s">
        <v>1702</v>
      </c>
      <c r="I69" s="20" t="s">
        <v>1434</v>
      </c>
      <c r="J69" s="20" t="s">
        <v>71</v>
      </c>
      <c r="K69" s="20" t="s">
        <v>21</v>
      </c>
      <c r="L69" s="20" t="s">
        <v>1435</v>
      </c>
      <c r="M69" s="20" t="s">
        <v>1436</v>
      </c>
    </row>
    <row r="70" spans="1:13" ht="33.950000000000003" customHeight="1" x14ac:dyDescent="0.25">
      <c r="A70" s="20" t="s">
        <v>327</v>
      </c>
      <c r="B70" s="20" t="s">
        <v>328</v>
      </c>
      <c r="C70" s="20" t="s">
        <v>1703</v>
      </c>
      <c r="D70" s="20" t="s">
        <v>1704</v>
      </c>
      <c r="E70" s="20" t="s">
        <v>1496</v>
      </c>
      <c r="F70" s="20" t="s">
        <v>1700</v>
      </c>
      <c r="G70" s="20" t="s">
        <v>1705</v>
      </c>
      <c r="H70" s="20" t="s">
        <v>1706</v>
      </c>
      <c r="I70" s="20" t="s">
        <v>1434</v>
      </c>
      <c r="J70" s="20" t="s">
        <v>71</v>
      </c>
      <c r="K70" s="20" t="s">
        <v>21</v>
      </c>
      <c r="L70" s="20" t="s">
        <v>1435</v>
      </c>
      <c r="M70" s="20" t="s">
        <v>1436</v>
      </c>
    </row>
    <row r="71" spans="1:13" ht="33.950000000000003" customHeight="1" x14ac:dyDescent="0.25">
      <c r="A71" s="20" t="s">
        <v>332</v>
      </c>
      <c r="B71" s="20" t="s">
        <v>333</v>
      </c>
      <c r="C71" s="20" t="s">
        <v>1707</v>
      </c>
      <c r="D71" s="20" t="s">
        <v>1708</v>
      </c>
      <c r="E71" s="20" t="s">
        <v>1430</v>
      </c>
      <c r="F71" s="20" t="s">
        <v>1700</v>
      </c>
      <c r="G71" s="20" t="s">
        <v>1709</v>
      </c>
      <c r="H71" s="20" t="s">
        <v>1710</v>
      </c>
      <c r="I71" s="20" t="s">
        <v>1434</v>
      </c>
      <c r="J71" s="20" t="s">
        <v>78</v>
      </c>
      <c r="K71" s="20" t="s">
        <v>21</v>
      </c>
      <c r="L71" s="20" t="s">
        <v>1435</v>
      </c>
      <c r="M71" s="20" t="s">
        <v>1436</v>
      </c>
    </row>
    <row r="72" spans="1:13" ht="33.950000000000003" customHeight="1" x14ac:dyDescent="0.25">
      <c r="A72" s="20" t="s">
        <v>336</v>
      </c>
      <c r="B72" s="20" t="s">
        <v>337</v>
      </c>
      <c r="C72" s="20" t="s">
        <v>1711</v>
      </c>
      <c r="D72" s="20" t="s">
        <v>1712</v>
      </c>
      <c r="E72" s="20" t="s">
        <v>1496</v>
      </c>
      <c r="F72" s="20" t="s">
        <v>1700</v>
      </c>
      <c r="G72" s="20" t="s">
        <v>1713</v>
      </c>
      <c r="H72" s="20" t="s">
        <v>1714</v>
      </c>
      <c r="I72" s="20" t="s">
        <v>1434</v>
      </c>
      <c r="J72" s="20" t="s">
        <v>78</v>
      </c>
      <c r="K72" s="20" t="s">
        <v>21</v>
      </c>
      <c r="L72" s="20" t="s">
        <v>1435</v>
      </c>
      <c r="M72" s="20" t="s">
        <v>1436</v>
      </c>
    </row>
    <row r="73" spans="1:13" ht="33.950000000000003" customHeight="1" x14ac:dyDescent="0.25">
      <c r="A73" s="20" t="s">
        <v>339</v>
      </c>
      <c r="B73" s="20" t="s">
        <v>340</v>
      </c>
      <c r="C73" s="20" t="s">
        <v>1715</v>
      </c>
      <c r="D73" s="20" t="s">
        <v>1716</v>
      </c>
      <c r="E73" s="20" t="s">
        <v>1496</v>
      </c>
      <c r="F73" s="20" t="s">
        <v>1700</v>
      </c>
      <c r="G73" s="20" t="s">
        <v>1480</v>
      </c>
      <c r="H73" s="20" t="s">
        <v>1717</v>
      </c>
      <c r="I73" s="20" t="s">
        <v>1434</v>
      </c>
      <c r="J73" s="20" t="s">
        <v>94</v>
      </c>
      <c r="K73" s="20" t="s">
        <v>21</v>
      </c>
      <c r="L73" s="20" t="s">
        <v>1435</v>
      </c>
      <c r="M73" s="20" t="s">
        <v>1436</v>
      </c>
    </row>
    <row r="74" spans="1:13" ht="33.950000000000003" customHeight="1" x14ac:dyDescent="0.25">
      <c r="A74" s="20" t="s">
        <v>343</v>
      </c>
      <c r="B74" s="20" t="s">
        <v>344</v>
      </c>
      <c r="C74" s="20" t="s">
        <v>1718</v>
      </c>
      <c r="D74" s="20" t="s">
        <v>1719</v>
      </c>
      <c r="E74" s="20" t="s">
        <v>1473</v>
      </c>
      <c r="F74" s="20" t="s">
        <v>1720</v>
      </c>
      <c r="G74" s="20" t="s">
        <v>1721</v>
      </c>
      <c r="H74" s="20" t="s">
        <v>1722</v>
      </c>
      <c r="I74" s="20" t="s">
        <v>1434</v>
      </c>
      <c r="J74" s="20" t="s">
        <v>71</v>
      </c>
      <c r="K74" s="20" t="s">
        <v>21</v>
      </c>
      <c r="L74" s="20" t="s">
        <v>1435</v>
      </c>
      <c r="M74" s="20" t="s">
        <v>1436</v>
      </c>
    </row>
    <row r="75" spans="1:13" ht="33.950000000000003" customHeight="1" x14ac:dyDescent="0.25">
      <c r="A75" s="20" t="s">
        <v>347</v>
      </c>
      <c r="B75" s="20" t="s">
        <v>348</v>
      </c>
      <c r="C75" s="20" t="s">
        <v>1723</v>
      </c>
      <c r="D75" s="20" t="s">
        <v>1724</v>
      </c>
      <c r="E75" s="20" t="s">
        <v>1473</v>
      </c>
      <c r="F75" s="20" t="s">
        <v>1720</v>
      </c>
      <c r="G75" s="20" t="s">
        <v>1725</v>
      </c>
      <c r="H75" s="20" t="s">
        <v>1726</v>
      </c>
      <c r="I75" s="20" t="s">
        <v>1434</v>
      </c>
      <c r="J75" s="20" t="s">
        <v>78</v>
      </c>
      <c r="K75" s="20" t="s">
        <v>21</v>
      </c>
      <c r="L75" s="20" t="s">
        <v>1435</v>
      </c>
      <c r="M75" s="20" t="s">
        <v>1436</v>
      </c>
    </row>
    <row r="76" spans="1:13" ht="33.950000000000003" customHeight="1" x14ac:dyDescent="0.25">
      <c r="A76" s="20" t="s">
        <v>352</v>
      </c>
      <c r="B76" s="20" t="s">
        <v>353</v>
      </c>
      <c r="C76" s="20" t="s">
        <v>1727</v>
      </c>
      <c r="D76" s="20" t="s">
        <v>1728</v>
      </c>
      <c r="E76" s="20" t="s">
        <v>1430</v>
      </c>
      <c r="F76" s="20" t="s">
        <v>1720</v>
      </c>
      <c r="G76" s="20" t="s">
        <v>1729</v>
      </c>
      <c r="H76" s="20" t="s">
        <v>1730</v>
      </c>
      <c r="I76" s="20" t="s">
        <v>1434</v>
      </c>
      <c r="J76" s="20" t="s">
        <v>71</v>
      </c>
      <c r="K76" s="20" t="s">
        <v>21</v>
      </c>
      <c r="L76" s="20" t="s">
        <v>1435</v>
      </c>
      <c r="M76" s="20" t="s">
        <v>1436</v>
      </c>
    </row>
    <row r="77" spans="1:13" ht="33.950000000000003" customHeight="1" x14ac:dyDescent="0.25">
      <c r="A77" s="20" t="s">
        <v>355</v>
      </c>
      <c r="B77" s="20" t="s">
        <v>356</v>
      </c>
      <c r="C77" s="20" t="s">
        <v>1731</v>
      </c>
      <c r="D77" s="20" t="s">
        <v>1732</v>
      </c>
      <c r="E77" s="20" t="s">
        <v>1473</v>
      </c>
      <c r="F77" s="20" t="s">
        <v>1527</v>
      </c>
      <c r="G77" s="20" t="s">
        <v>1480</v>
      </c>
      <c r="H77" s="20" t="s">
        <v>1733</v>
      </c>
      <c r="I77" s="20" t="s">
        <v>1434</v>
      </c>
      <c r="J77" s="20" t="s">
        <v>94</v>
      </c>
      <c r="K77" s="20" t="s">
        <v>21</v>
      </c>
      <c r="L77" s="20" t="s">
        <v>1435</v>
      </c>
      <c r="M77" s="20" t="s">
        <v>1436</v>
      </c>
    </row>
    <row r="78" spans="1:13" ht="33.950000000000003" customHeight="1" x14ac:dyDescent="0.25">
      <c r="A78" s="20" t="s">
        <v>358</v>
      </c>
      <c r="B78" s="20" t="s">
        <v>359</v>
      </c>
      <c r="C78" s="20" t="s">
        <v>1734</v>
      </c>
      <c r="D78" s="20" t="s">
        <v>1735</v>
      </c>
      <c r="E78" s="20" t="s">
        <v>1473</v>
      </c>
      <c r="F78" s="20" t="s">
        <v>1527</v>
      </c>
      <c r="G78" s="20" t="s">
        <v>1736</v>
      </c>
      <c r="H78" s="20" t="s">
        <v>1737</v>
      </c>
      <c r="I78" s="20" t="s">
        <v>1434</v>
      </c>
      <c r="J78" s="20" t="s">
        <v>71</v>
      </c>
      <c r="K78" s="20" t="s">
        <v>21</v>
      </c>
      <c r="L78" s="20" t="s">
        <v>1435</v>
      </c>
      <c r="M78" s="20" t="s">
        <v>1436</v>
      </c>
    </row>
    <row r="79" spans="1:13" ht="33.950000000000003" customHeight="1" x14ac:dyDescent="0.25">
      <c r="A79" s="20" t="s">
        <v>362</v>
      </c>
      <c r="B79" s="20" t="s">
        <v>363</v>
      </c>
      <c r="C79" s="20" t="s">
        <v>1738</v>
      </c>
      <c r="D79" s="20" t="s">
        <v>1739</v>
      </c>
      <c r="E79" s="20" t="s">
        <v>1473</v>
      </c>
      <c r="F79" s="20" t="s">
        <v>1720</v>
      </c>
      <c r="G79" s="20" t="s">
        <v>1740</v>
      </c>
      <c r="H79" s="20" t="s">
        <v>1741</v>
      </c>
      <c r="I79" s="20" t="s">
        <v>1434</v>
      </c>
      <c r="J79" s="20" t="s">
        <v>78</v>
      </c>
      <c r="K79" s="20" t="s">
        <v>21</v>
      </c>
      <c r="L79" s="20" t="s">
        <v>1435</v>
      </c>
      <c r="M79" s="20" t="s">
        <v>1436</v>
      </c>
    </row>
    <row r="80" spans="1:13" ht="33.950000000000003" customHeight="1" x14ac:dyDescent="0.25">
      <c r="A80" s="20" t="s">
        <v>366</v>
      </c>
      <c r="B80" s="20" t="s">
        <v>367</v>
      </c>
      <c r="C80" s="20" t="s">
        <v>1742</v>
      </c>
      <c r="D80" s="20" t="s">
        <v>1743</v>
      </c>
      <c r="E80" s="20" t="s">
        <v>1473</v>
      </c>
      <c r="F80" s="20" t="s">
        <v>1720</v>
      </c>
      <c r="G80" s="20" t="s">
        <v>1480</v>
      </c>
      <c r="H80" s="20" t="s">
        <v>1744</v>
      </c>
      <c r="I80" s="20" t="s">
        <v>1434</v>
      </c>
      <c r="J80" s="20" t="s">
        <v>71</v>
      </c>
      <c r="K80" s="20" t="s">
        <v>21</v>
      </c>
      <c r="L80" s="20" t="s">
        <v>1435</v>
      </c>
      <c r="M80" s="20" t="s">
        <v>1436</v>
      </c>
    </row>
    <row r="81" spans="1:13" ht="33.950000000000003" customHeight="1" x14ac:dyDescent="0.25">
      <c r="A81" s="20" t="s">
        <v>369</v>
      </c>
      <c r="B81" s="20" t="s">
        <v>370</v>
      </c>
      <c r="C81" s="20" t="s">
        <v>1745</v>
      </c>
      <c r="D81" s="20" t="s">
        <v>1746</v>
      </c>
      <c r="E81" s="20" t="s">
        <v>1473</v>
      </c>
      <c r="F81" s="20" t="s">
        <v>1720</v>
      </c>
      <c r="G81" s="20" t="s">
        <v>1480</v>
      </c>
      <c r="H81" s="20" t="s">
        <v>1747</v>
      </c>
      <c r="I81" s="20" t="s">
        <v>1434</v>
      </c>
      <c r="J81" s="20" t="s">
        <v>94</v>
      </c>
      <c r="K81" s="20" t="s">
        <v>21</v>
      </c>
      <c r="L81" s="20" t="s">
        <v>1435</v>
      </c>
      <c r="M81" s="20" t="s">
        <v>1436</v>
      </c>
    </row>
    <row r="82" spans="1:13" ht="33.950000000000003" customHeight="1" x14ac:dyDescent="0.25">
      <c r="A82" s="20" t="s">
        <v>373</v>
      </c>
      <c r="B82" s="20" t="s">
        <v>374</v>
      </c>
      <c r="C82" s="20" t="s">
        <v>1748</v>
      </c>
      <c r="D82" s="20" t="s">
        <v>1749</v>
      </c>
      <c r="E82" s="20" t="s">
        <v>1750</v>
      </c>
      <c r="F82" s="20" t="s">
        <v>1751</v>
      </c>
      <c r="G82" s="20" t="s">
        <v>1752</v>
      </c>
      <c r="H82" s="20" t="s">
        <v>1753</v>
      </c>
      <c r="I82" s="20" t="s">
        <v>1434</v>
      </c>
      <c r="J82" s="20" t="s">
        <v>78</v>
      </c>
      <c r="K82" s="20" t="s">
        <v>21</v>
      </c>
      <c r="L82" s="20" t="s">
        <v>1435</v>
      </c>
      <c r="M82" s="20" t="s">
        <v>1436</v>
      </c>
    </row>
    <row r="83" spans="1:13" ht="33.950000000000003" customHeight="1" x14ac:dyDescent="0.25">
      <c r="A83" s="20" t="s">
        <v>378</v>
      </c>
      <c r="B83" s="20" t="s">
        <v>379</v>
      </c>
      <c r="C83" s="20" t="s">
        <v>1754</v>
      </c>
      <c r="D83" s="20" t="s">
        <v>1755</v>
      </c>
      <c r="E83" s="20" t="s">
        <v>1750</v>
      </c>
      <c r="F83" s="20" t="s">
        <v>1756</v>
      </c>
      <c r="G83" s="20" t="s">
        <v>1480</v>
      </c>
      <c r="H83" s="20" t="s">
        <v>1757</v>
      </c>
      <c r="I83" s="20" t="s">
        <v>1434</v>
      </c>
      <c r="J83" s="20" t="s">
        <v>78</v>
      </c>
      <c r="K83" s="20" t="s">
        <v>21</v>
      </c>
      <c r="L83" s="20" t="s">
        <v>1435</v>
      </c>
      <c r="M83" s="20" t="s">
        <v>1436</v>
      </c>
    </row>
    <row r="84" spans="1:13" ht="33.950000000000003" customHeight="1" x14ac:dyDescent="0.25">
      <c r="A84" s="20" t="s">
        <v>381</v>
      </c>
      <c r="B84" s="20" t="s">
        <v>382</v>
      </c>
      <c r="C84" s="20" t="s">
        <v>1758</v>
      </c>
      <c r="D84" s="20" t="s">
        <v>1759</v>
      </c>
      <c r="E84" s="20" t="s">
        <v>1750</v>
      </c>
      <c r="F84" s="20" t="s">
        <v>1751</v>
      </c>
      <c r="G84" s="20" t="s">
        <v>1480</v>
      </c>
      <c r="H84" s="20" t="s">
        <v>1760</v>
      </c>
      <c r="I84" s="20" t="s">
        <v>1434</v>
      </c>
      <c r="J84" s="20" t="s">
        <v>71</v>
      </c>
      <c r="K84" s="20" t="s">
        <v>21</v>
      </c>
      <c r="L84" s="20" t="s">
        <v>1435</v>
      </c>
      <c r="M84" s="20" t="s">
        <v>1436</v>
      </c>
    </row>
    <row r="85" spans="1:13" ht="33.950000000000003" customHeight="1" x14ac:dyDescent="0.25">
      <c r="A85" s="20" t="s">
        <v>385</v>
      </c>
      <c r="B85" s="20" t="s">
        <v>386</v>
      </c>
      <c r="C85" s="20" t="s">
        <v>1761</v>
      </c>
      <c r="D85" s="20" t="s">
        <v>1762</v>
      </c>
      <c r="E85" s="20" t="s">
        <v>1750</v>
      </c>
      <c r="F85" s="20" t="s">
        <v>1751</v>
      </c>
      <c r="G85" s="20" t="s">
        <v>1763</v>
      </c>
      <c r="H85" s="20" t="s">
        <v>1764</v>
      </c>
      <c r="I85" s="20" t="s">
        <v>1434</v>
      </c>
      <c r="J85" s="20" t="s">
        <v>71</v>
      </c>
      <c r="K85" s="20" t="s">
        <v>21</v>
      </c>
      <c r="L85" s="20" t="s">
        <v>1435</v>
      </c>
      <c r="M85" s="20" t="s">
        <v>1436</v>
      </c>
    </row>
    <row r="86" spans="1:13" ht="33.950000000000003" customHeight="1" x14ac:dyDescent="0.25">
      <c r="A86" s="20" t="s">
        <v>388</v>
      </c>
      <c r="B86" s="20" t="s">
        <v>389</v>
      </c>
      <c r="C86" s="20" t="s">
        <v>1765</v>
      </c>
      <c r="D86" s="20" t="s">
        <v>1766</v>
      </c>
      <c r="E86" s="20" t="s">
        <v>1430</v>
      </c>
      <c r="F86" s="20" t="s">
        <v>1751</v>
      </c>
      <c r="G86" s="20" t="s">
        <v>1767</v>
      </c>
      <c r="H86" s="20" t="s">
        <v>1768</v>
      </c>
      <c r="I86" s="20" t="s">
        <v>1434</v>
      </c>
      <c r="J86" s="20" t="s">
        <v>78</v>
      </c>
      <c r="K86" s="20" t="s">
        <v>21</v>
      </c>
      <c r="L86" s="20" t="s">
        <v>1435</v>
      </c>
      <c r="M86" s="20" t="s">
        <v>1436</v>
      </c>
    </row>
    <row r="87" spans="1:13" ht="33.950000000000003" customHeight="1" x14ac:dyDescent="0.25">
      <c r="A87" s="20" t="s">
        <v>391</v>
      </c>
      <c r="B87" s="20" t="s">
        <v>392</v>
      </c>
      <c r="C87" s="20" t="s">
        <v>1769</v>
      </c>
      <c r="D87" s="20" t="s">
        <v>1770</v>
      </c>
      <c r="E87" s="20" t="s">
        <v>1750</v>
      </c>
      <c r="F87" s="20" t="s">
        <v>1751</v>
      </c>
      <c r="G87" s="20" t="s">
        <v>1480</v>
      </c>
      <c r="H87" s="20" t="s">
        <v>1771</v>
      </c>
      <c r="I87" s="20" t="s">
        <v>1434</v>
      </c>
      <c r="J87" s="20" t="s">
        <v>71</v>
      </c>
      <c r="K87" s="20" t="s">
        <v>21</v>
      </c>
      <c r="L87" s="20" t="s">
        <v>1435</v>
      </c>
      <c r="M87" s="20" t="s">
        <v>1436</v>
      </c>
    </row>
    <row r="88" spans="1:13" ht="33.950000000000003" customHeight="1" x14ac:dyDescent="0.25">
      <c r="A88" s="20" t="s">
        <v>396</v>
      </c>
      <c r="B88" s="20" t="s">
        <v>397</v>
      </c>
      <c r="C88" s="20" t="s">
        <v>1772</v>
      </c>
      <c r="D88" s="20" t="s">
        <v>1773</v>
      </c>
      <c r="E88" s="20" t="s">
        <v>1750</v>
      </c>
      <c r="F88" s="20" t="s">
        <v>1527</v>
      </c>
      <c r="G88" s="20" t="s">
        <v>1480</v>
      </c>
      <c r="H88" s="20" t="s">
        <v>1774</v>
      </c>
      <c r="I88" s="20" t="s">
        <v>1434</v>
      </c>
      <c r="J88" s="20" t="s">
        <v>78</v>
      </c>
      <c r="K88" s="20" t="s">
        <v>21</v>
      </c>
      <c r="L88" s="20" t="s">
        <v>1435</v>
      </c>
      <c r="M88" s="20" t="s">
        <v>1436</v>
      </c>
    </row>
    <row r="89" spans="1:13" ht="33.950000000000003" customHeight="1" x14ac:dyDescent="0.25">
      <c r="A89" s="20" t="s">
        <v>399</v>
      </c>
      <c r="B89" s="20" t="s">
        <v>400</v>
      </c>
      <c r="C89" s="20" t="s">
        <v>1775</v>
      </c>
      <c r="D89" s="20" t="s">
        <v>1776</v>
      </c>
      <c r="E89" s="20" t="s">
        <v>1750</v>
      </c>
      <c r="F89" s="20" t="s">
        <v>1751</v>
      </c>
      <c r="G89" s="20" t="s">
        <v>1777</v>
      </c>
      <c r="H89" s="20" t="s">
        <v>1778</v>
      </c>
      <c r="I89" s="20" t="s">
        <v>1434</v>
      </c>
      <c r="J89" s="20" t="s">
        <v>78</v>
      </c>
      <c r="K89" s="20" t="s">
        <v>21</v>
      </c>
      <c r="L89" s="20" t="s">
        <v>1435</v>
      </c>
      <c r="M89" s="20" t="s">
        <v>1436</v>
      </c>
    </row>
    <row r="90" spans="1:13" ht="33.950000000000003" customHeight="1" x14ac:dyDescent="0.25">
      <c r="A90" s="20" t="s">
        <v>403</v>
      </c>
      <c r="B90" s="20" t="s">
        <v>404</v>
      </c>
      <c r="C90" s="20" t="s">
        <v>1779</v>
      </c>
      <c r="D90" s="20" t="s">
        <v>1780</v>
      </c>
      <c r="E90" s="20" t="s">
        <v>1496</v>
      </c>
      <c r="F90" s="20" t="s">
        <v>1781</v>
      </c>
      <c r="G90" s="20" t="s">
        <v>1782</v>
      </c>
      <c r="H90" s="20" t="s">
        <v>1783</v>
      </c>
      <c r="I90" s="20" t="s">
        <v>1434</v>
      </c>
      <c r="J90" s="20" t="s">
        <v>71</v>
      </c>
      <c r="K90" s="20" t="s">
        <v>21</v>
      </c>
      <c r="L90" s="20" t="s">
        <v>1435</v>
      </c>
      <c r="M90" s="20" t="s">
        <v>1436</v>
      </c>
    </row>
    <row r="91" spans="1:13" ht="33.950000000000003" customHeight="1" x14ac:dyDescent="0.25">
      <c r="A91" s="20" t="s">
        <v>407</v>
      </c>
      <c r="B91" s="20" t="s">
        <v>408</v>
      </c>
      <c r="C91" s="20" t="s">
        <v>1784</v>
      </c>
      <c r="D91" s="20" t="s">
        <v>1785</v>
      </c>
      <c r="E91" s="20" t="s">
        <v>1496</v>
      </c>
      <c r="F91" s="20" t="s">
        <v>1781</v>
      </c>
      <c r="G91" s="20" t="s">
        <v>1786</v>
      </c>
      <c r="H91" s="20" t="s">
        <v>1787</v>
      </c>
      <c r="I91" s="20" t="s">
        <v>1434</v>
      </c>
      <c r="J91" s="20" t="s">
        <v>71</v>
      </c>
      <c r="K91" s="20" t="s">
        <v>21</v>
      </c>
      <c r="L91" s="20" t="s">
        <v>1435</v>
      </c>
      <c r="M91" s="20" t="s">
        <v>1436</v>
      </c>
    </row>
    <row r="92" spans="1:13" ht="33.950000000000003" customHeight="1" x14ac:dyDescent="0.25">
      <c r="A92" s="20" t="s">
        <v>411</v>
      </c>
      <c r="B92" s="20" t="s">
        <v>412</v>
      </c>
      <c r="C92" s="20" t="s">
        <v>1788</v>
      </c>
      <c r="D92" s="20" t="s">
        <v>1789</v>
      </c>
      <c r="E92" s="20" t="s">
        <v>1496</v>
      </c>
      <c r="F92" s="20" t="s">
        <v>1781</v>
      </c>
      <c r="G92" s="20" t="s">
        <v>1790</v>
      </c>
      <c r="H92" s="20" t="s">
        <v>1791</v>
      </c>
      <c r="I92" s="20" t="s">
        <v>1434</v>
      </c>
      <c r="J92" s="20" t="s">
        <v>71</v>
      </c>
      <c r="K92" s="20" t="s">
        <v>21</v>
      </c>
      <c r="L92" s="20" t="s">
        <v>1435</v>
      </c>
      <c r="M92" s="20" t="s">
        <v>1436</v>
      </c>
    </row>
    <row r="93" spans="1:13" ht="33.950000000000003" customHeight="1" x14ac:dyDescent="0.25">
      <c r="A93" s="20" t="s">
        <v>415</v>
      </c>
      <c r="B93" s="20" t="s">
        <v>416</v>
      </c>
      <c r="C93" s="20" t="s">
        <v>1792</v>
      </c>
      <c r="D93" s="20" t="s">
        <v>1793</v>
      </c>
      <c r="E93" s="20" t="s">
        <v>1600</v>
      </c>
      <c r="F93" s="20" t="s">
        <v>1781</v>
      </c>
      <c r="G93" s="20" t="s">
        <v>1794</v>
      </c>
      <c r="H93" s="20" t="s">
        <v>1795</v>
      </c>
      <c r="I93" s="20" t="s">
        <v>1434</v>
      </c>
      <c r="J93" s="20" t="s">
        <v>71</v>
      </c>
      <c r="K93" s="20" t="s">
        <v>21</v>
      </c>
      <c r="L93" s="20" t="s">
        <v>1435</v>
      </c>
      <c r="M93" s="20" t="s">
        <v>1436</v>
      </c>
    </row>
    <row r="94" spans="1:13" ht="33.950000000000003" customHeight="1" x14ac:dyDescent="0.25">
      <c r="A94" s="20" t="s">
        <v>418</v>
      </c>
      <c r="B94" s="20" t="s">
        <v>419</v>
      </c>
      <c r="C94" s="20" t="s">
        <v>1796</v>
      </c>
      <c r="D94" s="20" t="s">
        <v>1797</v>
      </c>
      <c r="E94" s="20" t="s">
        <v>1600</v>
      </c>
      <c r="F94" s="20" t="s">
        <v>1798</v>
      </c>
      <c r="G94" s="20" t="s">
        <v>1480</v>
      </c>
      <c r="H94" s="20" t="s">
        <v>1799</v>
      </c>
      <c r="I94" s="20" t="s">
        <v>1434</v>
      </c>
      <c r="J94" s="20" t="s">
        <v>78</v>
      </c>
      <c r="K94" s="20" t="s">
        <v>21</v>
      </c>
      <c r="L94" s="20" t="s">
        <v>1435</v>
      </c>
      <c r="M94" s="20" t="s">
        <v>1436</v>
      </c>
    </row>
    <row r="95" spans="1:13" ht="33.950000000000003" customHeight="1" x14ac:dyDescent="0.25">
      <c r="A95" s="20" t="s">
        <v>422</v>
      </c>
      <c r="B95" s="20" t="s">
        <v>423</v>
      </c>
      <c r="C95" s="20" t="s">
        <v>1800</v>
      </c>
      <c r="D95" s="20" t="s">
        <v>1801</v>
      </c>
      <c r="E95" s="20" t="s">
        <v>1496</v>
      </c>
      <c r="F95" s="20" t="s">
        <v>1802</v>
      </c>
      <c r="G95" s="20" t="s">
        <v>1803</v>
      </c>
      <c r="H95" s="20" t="s">
        <v>1804</v>
      </c>
      <c r="I95" s="20" t="s">
        <v>1434</v>
      </c>
      <c r="J95" s="20" t="s">
        <v>71</v>
      </c>
      <c r="K95" s="20" t="s">
        <v>21</v>
      </c>
      <c r="L95" s="20" t="s">
        <v>1435</v>
      </c>
      <c r="M95" s="20" t="s">
        <v>1436</v>
      </c>
    </row>
    <row r="96" spans="1:13" ht="33.950000000000003" customHeight="1" x14ac:dyDescent="0.25">
      <c r="A96" s="20" t="s">
        <v>425</v>
      </c>
      <c r="B96" s="20" t="s">
        <v>426</v>
      </c>
      <c r="C96" s="20" t="s">
        <v>1805</v>
      </c>
      <c r="D96" s="20" t="s">
        <v>1806</v>
      </c>
      <c r="E96" s="20" t="s">
        <v>1496</v>
      </c>
      <c r="F96" s="20" t="s">
        <v>1802</v>
      </c>
      <c r="G96" s="20" t="s">
        <v>1807</v>
      </c>
      <c r="H96" s="20" t="s">
        <v>1808</v>
      </c>
      <c r="I96" s="20" t="s">
        <v>1434</v>
      </c>
      <c r="J96" s="20" t="s">
        <v>94</v>
      </c>
      <c r="K96" s="20" t="s">
        <v>21</v>
      </c>
      <c r="L96" s="20" t="s">
        <v>1435</v>
      </c>
      <c r="M96" s="20" t="s">
        <v>1436</v>
      </c>
    </row>
    <row r="97" spans="1:13" ht="33.950000000000003" customHeight="1" x14ac:dyDescent="0.25">
      <c r="A97" s="20" t="s">
        <v>429</v>
      </c>
      <c r="B97" s="20" t="s">
        <v>430</v>
      </c>
      <c r="C97" s="20" t="s">
        <v>1809</v>
      </c>
      <c r="D97" s="20" t="s">
        <v>1810</v>
      </c>
      <c r="E97" s="20" t="s">
        <v>1473</v>
      </c>
      <c r="F97" s="20" t="s">
        <v>1811</v>
      </c>
      <c r="G97" s="20" t="s">
        <v>1812</v>
      </c>
      <c r="H97" s="20" t="s">
        <v>1813</v>
      </c>
      <c r="I97" s="20" t="s">
        <v>1434</v>
      </c>
      <c r="J97" s="20" t="s">
        <v>71</v>
      </c>
      <c r="K97" s="20" t="s">
        <v>21</v>
      </c>
      <c r="L97" s="20" t="s">
        <v>1435</v>
      </c>
      <c r="M97" s="20" t="s">
        <v>1436</v>
      </c>
    </row>
    <row r="98" spans="1:13" ht="33.950000000000003" customHeight="1" x14ac:dyDescent="0.25">
      <c r="A98" s="20" t="s">
        <v>433</v>
      </c>
      <c r="B98" s="20" t="s">
        <v>434</v>
      </c>
      <c r="C98" s="20" t="s">
        <v>1814</v>
      </c>
      <c r="D98" s="20" t="s">
        <v>1815</v>
      </c>
      <c r="E98" s="20" t="s">
        <v>1473</v>
      </c>
      <c r="F98" s="20" t="s">
        <v>1798</v>
      </c>
      <c r="G98" s="20" t="s">
        <v>1480</v>
      </c>
      <c r="H98" s="20" t="s">
        <v>1816</v>
      </c>
      <c r="I98" s="20" t="s">
        <v>1434</v>
      </c>
      <c r="J98" s="20" t="s">
        <v>78</v>
      </c>
      <c r="K98" s="20" t="s">
        <v>21</v>
      </c>
      <c r="L98" s="20" t="s">
        <v>1435</v>
      </c>
      <c r="M98" s="20" t="s">
        <v>1436</v>
      </c>
    </row>
    <row r="99" spans="1:13" ht="33.950000000000003" customHeight="1" x14ac:dyDescent="0.25">
      <c r="A99" s="20" t="s">
        <v>437</v>
      </c>
      <c r="B99" s="20" t="s">
        <v>438</v>
      </c>
      <c r="C99" s="20" t="s">
        <v>1817</v>
      </c>
      <c r="D99" s="20" t="s">
        <v>1818</v>
      </c>
      <c r="E99" s="20" t="s">
        <v>1473</v>
      </c>
      <c r="F99" s="20" t="s">
        <v>1781</v>
      </c>
      <c r="G99" s="20" t="s">
        <v>1819</v>
      </c>
      <c r="H99" s="20" t="s">
        <v>1820</v>
      </c>
      <c r="I99" s="20" t="s">
        <v>1434</v>
      </c>
      <c r="J99" s="20" t="s">
        <v>71</v>
      </c>
      <c r="K99" s="20" t="s">
        <v>21</v>
      </c>
      <c r="L99" s="20" t="s">
        <v>1435</v>
      </c>
      <c r="M99" s="20" t="s">
        <v>1436</v>
      </c>
    </row>
    <row r="100" spans="1:13" ht="33.950000000000003" customHeight="1" x14ac:dyDescent="0.25">
      <c r="A100" s="20" t="s">
        <v>440</v>
      </c>
      <c r="B100" s="20" t="s">
        <v>441</v>
      </c>
      <c r="C100" s="20" t="s">
        <v>1821</v>
      </c>
      <c r="D100" s="20" t="s">
        <v>1822</v>
      </c>
      <c r="E100" s="20" t="s">
        <v>1473</v>
      </c>
      <c r="F100" s="20" t="s">
        <v>1798</v>
      </c>
      <c r="G100" s="20" t="s">
        <v>1480</v>
      </c>
      <c r="H100" s="20" t="s">
        <v>1823</v>
      </c>
      <c r="I100" s="20" t="s">
        <v>1434</v>
      </c>
      <c r="J100" s="20" t="s">
        <v>78</v>
      </c>
      <c r="K100" s="20" t="s">
        <v>21</v>
      </c>
      <c r="L100" s="20" t="s">
        <v>1435</v>
      </c>
      <c r="M100" s="20" t="s">
        <v>1436</v>
      </c>
    </row>
    <row r="101" spans="1:13" ht="33.950000000000003" customHeight="1" x14ac:dyDescent="0.25">
      <c r="A101" s="20" t="s">
        <v>444</v>
      </c>
      <c r="B101" s="20" t="s">
        <v>445</v>
      </c>
      <c r="C101" s="20" t="s">
        <v>1824</v>
      </c>
      <c r="D101" s="20" t="s">
        <v>1825</v>
      </c>
      <c r="E101" s="20" t="s">
        <v>1473</v>
      </c>
      <c r="F101" s="20" t="s">
        <v>1781</v>
      </c>
      <c r="G101" s="20" t="s">
        <v>1826</v>
      </c>
      <c r="H101" s="20" t="s">
        <v>1827</v>
      </c>
      <c r="I101" s="20" t="s">
        <v>1434</v>
      </c>
      <c r="J101" s="20" t="s">
        <v>78</v>
      </c>
      <c r="K101" s="20" t="s">
        <v>21</v>
      </c>
      <c r="L101" s="20" t="s">
        <v>1435</v>
      </c>
      <c r="M101" s="20" t="s">
        <v>1436</v>
      </c>
    </row>
    <row r="102" spans="1:13" ht="33.950000000000003" customHeight="1" x14ac:dyDescent="0.25">
      <c r="A102" s="20" t="s">
        <v>447</v>
      </c>
      <c r="B102" s="20" t="s">
        <v>448</v>
      </c>
      <c r="C102" s="20" t="s">
        <v>1828</v>
      </c>
      <c r="D102" s="20" t="s">
        <v>1829</v>
      </c>
      <c r="E102" s="20" t="s">
        <v>1473</v>
      </c>
      <c r="F102" s="20" t="s">
        <v>1798</v>
      </c>
      <c r="G102" s="20" t="s">
        <v>1480</v>
      </c>
      <c r="H102" s="20" t="s">
        <v>1830</v>
      </c>
      <c r="I102" s="20" t="s">
        <v>1434</v>
      </c>
      <c r="J102" s="20" t="s">
        <v>78</v>
      </c>
      <c r="K102" s="20" t="s">
        <v>21</v>
      </c>
      <c r="L102" s="20" t="s">
        <v>1435</v>
      </c>
      <c r="M102" s="20" t="s">
        <v>1436</v>
      </c>
    </row>
    <row r="103" spans="1:13" ht="33.950000000000003" customHeight="1" x14ac:dyDescent="0.25">
      <c r="A103" s="20" t="s">
        <v>451</v>
      </c>
      <c r="B103" s="20" t="s">
        <v>452</v>
      </c>
      <c r="C103" s="20" t="s">
        <v>1831</v>
      </c>
      <c r="D103" s="20" t="s">
        <v>1832</v>
      </c>
      <c r="E103" s="20" t="s">
        <v>1473</v>
      </c>
      <c r="F103" s="20" t="s">
        <v>1833</v>
      </c>
      <c r="G103" s="20" t="s">
        <v>1834</v>
      </c>
      <c r="H103" s="20" t="s">
        <v>1835</v>
      </c>
      <c r="I103" s="20" t="s">
        <v>1434</v>
      </c>
      <c r="J103" s="20" t="s">
        <v>94</v>
      </c>
      <c r="K103" s="20" t="s">
        <v>21</v>
      </c>
      <c r="L103" s="20" t="s">
        <v>1435</v>
      </c>
      <c r="M103" s="20" t="s">
        <v>1436</v>
      </c>
    </row>
    <row r="104" spans="1:13" ht="33.950000000000003" customHeight="1" x14ac:dyDescent="0.25">
      <c r="A104" s="20" t="s">
        <v>455</v>
      </c>
      <c r="B104" s="20" t="s">
        <v>456</v>
      </c>
      <c r="C104" s="20" t="s">
        <v>1836</v>
      </c>
      <c r="D104" s="20" t="s">
        <v>1837</v>
      </c>
      <c r="E104" s="20" t="s">
        <v>1473</v>
      </c>
      <c r="F104" s="20" t="s">
        <v>1833</v>
      </c>
      <c r="G104" s="20" t="s">
        <v>1480</v>
      </c>
      <c r="H104" s="20" t="s">
        <v>1838</v>
      </c>
      <c r="I104" s="20" t="s">
        <v>1434</v>
      </c>
      <c r="J104" s="20" t="s">
        <v>94</v>
      </c>
      <c r="K104" s="20" t="s">
        <v>21</v>
      </c>
      <c r="L104" s="20" t="s">
        <v>1435</v>
      </c>
      <c r="M104" s="20" t="s">
        <v>1436</v>
      </c>
    </row>
    <row r="105" spans="1:13" ht="33.950000000000003" customHeight="1" x14ac:dyDescent="0.25">
      <c r="A105" s="20" t="s">
        <v>459</v>
      </c>
      <c r="B105" s="20" t="s">
        <v>460</v>
      </c>
      <c r="C105" s="20" t="s">
        <v>1839</v>
      </c>
      <c r="D105" s="20" t="s">
        <v>1840</v>
      </c>
      <c r="E105" s="20" t="s">
        <v>1430</v>
      </c>
      <c r="F105" s="20" t="s">
        <v>1444</v>
      </c>
      <c r="G105" s="20" t="s">
        <v>1841</v>
      </c>
      <c r="H105" s="20" t="s">
        <v>1842</v>
      </c>
      <c r="I105" s="20" t="s">
        <v>1434</v>
      </c>
      <c r="J105" s="20" t="s">
        <v>71</v>
      </c>
      <c r="K105" s="20" t="s">
        <v>21</v>
      </c>
      <c r="L105" s="20" t="s">
        <v>1435</v>
      </c>
      <c r="M105" s="20" t="s">
        <v>1436</v>
      </c>
    </row>
    <row r="106" spans="1:13" ht="33.950000000000003" customHeight="1" x14ac:dyDescent="0.25">
      <c r="A106" s="20" t="s">
        <v>463</v>
      </c>
      <c r="B106" s="20" t="s">
        <v>464</v>
      </c>
      <c r="C106" s="20" t="s">
        <v>1843</v>
      </c>
      <c r="D106" s="20" t="s">
        <v>1844</v>
      </c>
      <c r="E106" s="20" t="s">
        <v>1430</v>
      </c>
      <c r="F106" s="20" t="s">
        <v>1444</v>
      </c>
      <c r="G106" s="20" t="s">
        <v>1845</v>
      </c>
      <c r="H106" s="20" t="s">
        <v>1846</v>
      </c>
      <c r="I106" s="20" t="s">
        <v>1434</v>
      </c>
      <c r="J106" s="20" t="s">
        <v>71</v>
      </c>
      <c r="K106" s="20" t="s">
        <v>21</v>
      </c>
      <c r="L106" s="20" t="s">
        <v>1435</v>
      </c>
      <c r="M106" s="20" t="s">
        <v>1436</v>
      </c>
    </row>
    <row r="107" spans="1:13" ht="33.950000000000003" customHeight="1" x14ac:dyDescent="0.25">
      <c r="A107" s="20" t="s">
        <v>467</v>
      </c>
      <c r="B107" s="20" t="s">
        <v>468</v>
      </c>
      <c r="C107" s="20" t="s">
        <v>1847</v>
      </c>
      <c r="D107" s="20" t="s">
        <v>1848</v>
      </c>
      <c r="E107" s="20" t="s">
        <v>1430</v>
      </c>
      <c r="F107" s="20" t="s">
        <v>1444</v>
      </c>
      <c r="G107" s="20" t="s">
        <v>1849</v>
      </c>
      <c r="H107" s="20" t="s">
        <v>1850</v>
      </c>
      <c r="I107" s="20" t="s">
        <v>1434</v>
      </c>
      <c r="J107" s="20" t="s">
        <v>71</v>
      </c>
      <c r="K107" s="20" t="s">
        <v>21</v>
      </c>
      <c r="L107" s="20" t="s">
        <v>1435</v>
      </c>
      <c r="M107" s="20" t="s">
        <v>1436</v>
      </c>
    </row>
    <row r="108" spans="1:13" ht="33.950000000000003" customHeight="1" x14ac:dyDescent="0.25">
      <c r="A108" s="20" t="s">
        <v>471</v>
      </c>
      <c r="B108" s="20" t="s">
        <v>472</v>
      </c>
      <c r="C108" s="20" t="s">
        <v>1851</v>
      </c>
      <c r="D108" s="20" t="s">
        <v>1852</v>
      </c>
      <c r="E108" s="20" t="s">
        <v>1853</v>
      </c>
      <c r="F108" s="20" t="s">
        <v>1854</v>
      </c>
      <c r="G108" s="20" t="s">
        <v>1855</v>
      </c>
      <c r="H108" s="20" t="s">
        <v>1856</v>
      </c>
      <c r="I108" s="20" t="s">
        <v>1434</v>
      </c>
      <c r="J108" s="20" t="s">
        <v>71</v>
      </c>
      <c r="K108" s="20" t="s">
        <v>21</v>
      </c>
      <c r="L108" s="20" t="s">
        <v>1435</v>
      </c>
      <c r="M108" s="20" t="s">
        <v>1436</v>
      </c>
    </row>
    <row r="109" spans="1:13" ht="33.950000000000003" customHeight="1" x14ac:dyDescent="0.25">
      <c r="A109" s="20" t="s">
        <v>476</v>
      </c>
      <c r="B109" s="20" t="s">
        <v>477</v>
      </c>
      <c r="C109" s="20" t="s">
        <v>1857</v>
      </c>
      <c r="D109" s="20" t="s">
        <v>1858</v>
      </c>
      <c r="E109" s="20" t="s">
        <v>1853</v>
      </c>
      <c r="F109" s="20" t="s">
        <v>1854</v>
      </c>
      <c r="G109" s="20" t="s">
        <v>1859</v>
      </c>
      <c r="H109" s="20" t="s">
        <v>1860</v>
      </c>
      <c r="I109" s="20" t="s">
        <v>1434</v>
      </c>
      <c r="J109" s="20" t="s">
        <v>71</v>
      </c>
      <c r="K109" s="20" t="s">
        <v>21</v>
      </c>
      <c r="L109" s="20" t="s">
        <v>1435</v>
      </c>
      <c r="M109" s="20" t="s">
        <v>1436</v>
      </c>
    </row>
    <row r="110" spans="1:13" ht="33.950000000000003" customHeight="1" x14ac:dyDescent="0.25">
      <c r="A110" s="20" t="s">
        <v>480</v>
      </c>
      <c r="B110" s="20" t="s">
        <v>481</v>
      </c>
      <c r="C110" s="20" t="s">
        <v>1861</v>
      </c>
      <c r="D110" s="20" t="s">
        <v>1862</v>
      </c>
      <c r="E110" s="20" t="s">
        <v>1853</v>
      </c>
      <c r="F110" s="20" t="s">
        <v>1854</v>
      </c>
      <c r="G110" s="20" t="s">
        <v>1863</v>
      </c>
      <c r="H110" s="20" t="s">
        <v>1864</v>
      </c>
      <c r="I110" s="20" t="s">
        <v>1434</v>
      </c>
      <c r="J110" s="20" t="s">
        <v>78</v>
      </c>
      <c r="K110" s="20" t="s">
        <v>21</v>
      </c>
      <c r="L110" s="20" t="s">
        <v>1435</v>
      </c>
      <c r="M110" s="20" t="s">
        <v>1436</v>
      </c>
    </row>
    <row r="111" spans="1:13" ht="33.950000000000003" customHeight="1" x14ac:dyDescent="0.25">
      <c r="A111" s="20" t="s">
        <v>484</v>
      </c>
      <c r="B111" s="20" t="s">
        <v>485</v>
      </c>
      <c r="C111" s="20" t="s">
        <v>1865</v>
      </c>
      <c r="D111" s="20" t="s">
        <v>1866</v>
      </c>
      <c r="E111" s="20" t="s">
        <v>1853</v>
      </c>
      <c r="F111" s="20" t="s">
        <v>1854</v>
      </c>
      <c r="G111" s="20" t="s">
        <v>1867</v>
      </c>
      <c r="H111" s="20" t="s">
        <v>1868</v>
      </c>
      <c r="I111" s="20" t="s">
        <v>1434</v>
      </c>
      <c r="J111" s="20" t="s">
        <v>71</v>
      </c>
      <c r="K111" s="20" t="s">
        <v>21</v>
      </c>
      <c r="L111" s="20" t="s">
        <v>1435</v>
      </c>
      <c r="M111" s="20" t="s">
        <v>1436</v>
      </c>
    </row>
    <row r="112" spans="1:13" ht="33.950000000000003" customHeight="1" x14ac:dyDescent="0.25">
      <c r="A112" s="20" t="s">
        <v>488</v>
      </c>
      <c r="B112" s="20" t="s">
        <v>489</v>
      </c>
      <c r="C112" s="20" t="s">
        <v>1869</v>
      </c>
      <c r="D112" s="20" t="s">
        <v>1870</v>
      </c>
      <c r="E112" s="20" t="s">
        <v>1853</v>
      </c>
      <c r="F112" s="20" t="s">
        <v>1854</v>
      </c>
      <c r="G112" s="20" t="s">
        <v>1871</v>
      </c>
      <c r="H112" s="20" t="s">
        <v>1872</v>
      </c>
      <c r="I112" s="20" t="s">
        <v>1434</v>
      </c>
      <c r="J112" s="20" t="s">
        <v>71</v>
      </c>
      <c r="K112" s="20" t="s">
        <v>21</v>
      </c>
      <c r="L112" s="20" t="s">
        <v>1435</v>
      </c>
      <c r="M112" s="20" t="s">
        <v>1436</v>
      </c>
    </row>
    <row r="113" spans="1:13" ht="33.950000000000003" customHeight="1" x14ac:dyDescent="0.25">
      <c r="A113" s="20" t="s">
        <v>492</v>
      </c>
      <c r="B113" s="20" t="s">
        <v>493</v>
      </c>
      <c r="C113" s="20" t="s">
        <v>1873</v>
      </c>
      <c r="D113" s="20" t="s">
        <v>1874</v>
      </c>
      <c r="E113" s="20" t="s">
        <v>1853</v>
      </c>
      <c r="F113" s="20" t="s">
        <v>1854</v>
      </c>
      <c r="G113" s="20" t="s">
        <v>1875</v>
      </c>
      <c r="H113" s="20" t="s">
        <v>1876</v>
      </c>
      <c r="I113" s="20" t="s">
        <v>1434</v>
      </c>
      <c r="J113" s="20" t="s">
        <v>78</v>
      </c>
      <c r="K113" s="20" t="s">
        <v>21</v>
      </c>
      <c r="L113" s="20" t="s">
        <v>1435</v>
      </c>
      <c r="M113" s="20" t="s">
        <v>1436</v>
      </c>
    </row>
    <row r="114" spans="1:13" ht="33.950000000000003" customHeight="1" x14ac:dyDescent="0.25">
      <c r="A114" s="20" t="s">
        <v>496</v>
      </c>
      <c r="B114" s="20" t="s">
        <v>497</v>
      </c>
      <c r="C114" s="20" t="s">
        <v>1877</v>
      </c>
      <c r="D114" s="20" t="s">
        <v>1878</v>
      </c>
      <c r="E114" s="20" t="s">
        <v>1632</v>
      </c>
      <c r="F114" s="20" t="s">
        <v>1879</v>
      </c>
      <c r="G114" s="20" t="s">
        <v>1880</v>
      </c>
      <c r="H114" s="20" t="s">
        <v>1881</v>
      </c>
      <c r="I114" s="20" t="s">
        <v>1434</v>
      </c>
      <c r="J114" s="20" t="s">
        <v>71</v>
      </c>
      <c r="K114" s="20" t="s">
        <v>21</v>
      </c>
      <c r="L114" s="20" t="s">
        <v>1435</v>
      </c>
      <c r="M114" s="20" t="s">
        <v>1436</v>
      </c>
    </row>
    <row r="115" spans="1:13" ht="33.950000000000003" customHeight="1" x14ac:dyDescent="0.25">
      <c r="A115" s="20" t="s">
        <v>502</v>
      </c>
      <c r="B115" s="20" t="s">
        <v>503</v>
      </c>
      <c r="C115" s="20" t="s">
        <v>1882</v>
      </c>
      <c r="D115" s="20" t="s">
        <v>1883</v>
      </c>
      <c r="E115" s="20" t="s">
        <v>1632</v>
      </c>
      <c r="F115" s="20" t="s">
        <v>1879</v>
      </c>
      <c r="G115" s="20" t="s">
        <v>1884</v>
      </c>
      <c r="H115" s="20" t="s">
        <v>1885</v>
      </c>
      <c r="I115" s="20" t="s">
        <v>1434</v>
      </c>
      <c r="J115" s="20" t="s">
        <v>71</v>
      </c>
      <c r="K115" s="20" t="s">
        <v>21</v>
      </c>
      <c r="L115" s="20" t="s">
        <v>1435</v>
      </c>
      <c r="M115" s="20" t="s">
        <v>1436</v>
      </c>
    </row>
    <row r="116" spans="1:13" ht="33.950000000000003" customHeight="1" x14ac:dyDescent="0.25">
      <c r="A116" s="20" t="s">
        <v>506</v>
      </c>
      <c r="B116" s="20" t="s">
        <v>507</v>
      </c>
      <c r="C116" s="20" t="s">
        <v>1886</v>
      </c>
      <c r="D116" s="20" t="s">
        <v>1887</v>
      </c>
      <c r="E116" s="20" t="s">
        <v>1632</v>
      </c>
      <c r="F116" s="20" t="s">
        <v>1879</v>
      </c>
      <c r="G116" s="20" t="s">
        <v>1888</v>
      </c>
      <c r="H116" s="20" t="s">
        <v>1889</v>
      </c>
      <c r="I116" s="20" t="s">
        <v>1434</v>
      </c>
      <c r="J116" s="20" t="s">
        <v>71</v>
      </c>
      <c r="K116" s="20" t="s">
        <v>21</v>
      </c>
      <c r="L116" s="20" t="s">
        <v>1435</v>
      </c>
      <c r="M116" s="20" t="s">
        <v>1436</v>
      </c>
    </row>
    <row r="117" spans="1:13" ht="33.950000000000003" customHeight="1" x14ac:dyDescent="0.25">
      <c r="A117" s="20" t="s">
        <v>510</v>
      </c>
      <c r="B117" s="20" t="s">
        <v>511</v>
      </c>
      <c r="C117" s="20" t="s">
        <v>1890</v>
      </c>
      <c r="D117" s="20" t="s">
        <v>1891</v>
      </c>
      <c r="E117" s="20" t="s">
        <v>1632</v>
      </c>
      <c r="F117" s="20" t="s">
        <v>1879</v>
      </c>
      <c r="G117" s="20" t="s">
        <v>1892</v>
      </c>
      <c r="H117" s="20" t="s">
        <v>1893</v>
      </c>
      <c r="I117" s="20" t="s">
        <v>1434</v>
      </c>
      <c r="J117" s="20" t="s">
        <v>71</v>
      </c>
      <c r="K117" s="20" t="s">
        <v>21</v>
      </c>
      <c r="L117" s="20" t="s">
        <v>1435</v>
      </c>
      <c r="M117" s="20" t="s">
        <v>1436</v>
      </c>
    </row>
    <row r="118" spans="1:13" ht="33.950000000000003" customHeight="1" x14ac:dyDescent="0.25">
      <c r="A118" s="20" t="s">
        <v>514</v>
      </c>
      <c r="B118" s="20" t="s">
        <v>515</v>
      </c>
      <c r="C118" s="20" t="s">
        <v>1894</v>
      </c>
      <c r="D118" s="20" t="s">
        <v>1895</v>
      </c>
      <c r="E118" s="20" t="s">
        <v>1632</v>
      </c>
      <c r="F118" s="20" t="s">
        <v>1879</v>
      </c>
      <c r="G118" s="20" t="s">
        <v>1896</v>
      </c>
      <c r="H118" s="20" t="s">
        <v>1897</v>
      </c>
      <c r="I118" s="20" t="s">
        <v>1434</v>
      </c>
      <c r="J118" s="20" t="s">
        <v>78</v>
      </c>
      <c r="K118" s="20" t="s">
        <v>21</v>
      </c>
      <c r="L118" s="20" t="s">
        <v>1435</v>
      </c>
      <c r="M118" s="20" t="s">
        <v>1436</v>
      </c>
    </row>
    <row r="119" spans="1:13" ht="33.950000000000003" customHeight="1" x14ac:dyDescent="0.25">
      <c r="A119" s="20" t="s">
        <v>519</v>
      </c>
      <c r="B119" s="20" t="s">
        <v>520</v>
      </c>
      <c r="C119" s="20" t="s">
        <v>1898</v>
      </c>
      <c r="D119" s="20" t="s">
        <v>1899</v>
      </c>
      <c r="E119" s="20" t="s">
        <v>1632</v>
      </c>
      <c r="F119" s="20" t="s">
        <v>1646</v>
      </c>
      <c r="G119" s="20" t="s">
        <v>1900</v>
      </c>
      <c r="H119" s="20" t="s">
        <v>1901</v>
      </c>
      <c r="I119" s="20" t="s">
        <v>1434</v>
      </c>
      <c r="J119" s="20" t="s">
        <v>71</v>
      </c>
      <c r="K119" s="20" t="s">
        <v>21</v>
      </c>
      <c r="L119" s="20" t="s">
        <v>1435</v>
      </c>
      <c r="M119" s="20" t="s">
        <v>1436</v>
      </c>
    </row>
    <row r="120" spans="1:13" ht="33.950000000000003" customHeight="1" x14ac:dyDescent="0.25">
      <c r="A120" s="20" t="s">
        <v>523</v>
      </c>
      <c r="B120" s="20" t="s">
        <v>524</v>
      </c>
      <c r="C120" s="20" t="s">
        <v>1902</v>
      </c>
      <c r="D120" s="20" t="s">
        <v>1903</v>
      </c>
      <c r="E120" s="20" t="s">
        <v>1632</v>
      </c>
      <c r="F120" s="20" t="s">
        <v>1646</v>
      </c>
      <c r="G120" s="20" t="s">
        <v>1904</v>
      </c>
      <c r="H120" s="20" t="s">
        <v>1905</v>
      </c>
      <c r="I120" s="20" t="s">
        <v>1434</v>
      </c>
      <c r="J120" s="20" t="s">
        <v>71</v>
      </c>
      <c r="K120" s="20" t="s">
        <v>21</v>
      </c>
      <c r="L120" s="20" t="s">
        <v>1435</v>
      </c>
      <c r="M120" s="20" t="s">
        <v>1436</v>
      </c>
    </row>
    <row r="121" spans="1:13" ht="33.950000000000003" customHeight="1" x14ac:dyDescent="0.25">
      <c r="A121" s="20" t="s">
        <v>527</v>
      </c>
      <c r="B121" s="20" t="s">
        <v>528</v>
      </c>
      <c r="C121" s="20" t="s">
        <v>1906</v>
      </c>
      <c r="D121" s="20" t="s">
        <v>1907</v>
      </c>
      <c r="E121" s="20" t="s">
        <v>1632</v>
      </c>
      <c r="F121" s="20" t="s">
        <v>1646</v>
      </c>
      <c r="G121" s="20" t="s">
        <v>1908</v>
      </c>
      <c r="H121" s="20" t="s">
        <v>1909</v>
      </c>
      <c r="I121" s="20" t="s">
        <v>1434</v>
      </c>
      <c r="J121" s="20" t="s">
        <v>71</v>
      </c>
      <c r="K121" s="20" t="s">
        <v>21</v>
      </c>
      <c r="L121" s="20" t="s">
        <v>1435</v>
      </c>
      <c r="M121" s="20" t="s">
        <v>1436</v>
      </c>
    </row>
    <row r="122" spans="1:13" ht="33.950000000000003" customHeight="1" x14ac:dyDescent="0.25">
      <c r="A122" s="20" t="s">
        <v>531</v>
      </c>
      <c r="B122" s="20" t="s">
        <v>532</v>
      </c>
      <c r="C122" s="20" t="s">
        <v>1910</v>
      </c>
      <c r="D122" s="20" t="s">
        <v>1911</v>
      </c>
      <c r="E122" s="20" t="s">
        <v>1632</v>
      </c>
      <c r="F122" s="20" t="s">
        <v>1646</v>
      </c>
      <c r="G122" s="20" t="s">
        <v>1912</v>
      </c>
      <c r="H122" s="20" t="s">
        <v>1913</v>
      </c>
      <c r="I122" s="20" t="s">
        <v>1434</v>
      </c>
      <c r="J122" s="20" t="s">
        <v>78</v>
      </c>
      <c r="K122" s="20" t="s">
        <v>21</v>
      </c>
      <c r="L122" s="20" t="s">
        <v>1435</v>
      </c>
      <c r="M122" s="20" t="s">
        <v>1436</v>
      </c>
    </row>
    <row r="123" spans="1:13" ht="33.950000000000003" customHeight="1" x14ac:dyDescent="0.25">
      <c r="A123" s="20" t="s">
        <v>535</v>
      </c>
      <c r="B123" s="20" t="s">
        <v>536</v>
      </c>
      <c r="C123" s="20" t="s">
        <v>1914</v>
      </c>
      <c r="D123" s="20" t="s">
        <v>1915</v>
      </c>
      <c r="E123" s="20" t="s">
        <v>1496</v>
      </c>
      <c r="F123" s="20" t="s">
        <v>1535</v>
      </c>
      <c r="G123" s="20" t="s">
        <v>1916</v>
      </c>
      <c r="H123" s="20" t="s">
        <v>1917</v>
      </c>
      <c r="I123" s="20" t="s">
        <v>1434</v>
      </c>
      <c r="J123" s="20" t="s">
        <v>78</v>
      </c>
      <c r="K123" s="20" t="s">
        <v>21</v>
      </c>
      <c r="L123" s="20" t="s">
        <v>1435</v>
      </c>
      <c r="M123" s="20" t="s">
        <v>1436</v>
      </c>
    </row>
    <row r="124" spans="1:13" ht="33.950000000000003" customHeight="1" x14ac:dyDescent="0.25">
      <c r="A124" s="20" t="s">
        <v>539</v>
      </c>
      <c r="B124" s="20" t="s">
        <v>540</v>
      </c>
      <c r="C124" s="20" t="s">
        <v>1918</v>
      </c>
      <c r="D124" s="20" t="s">
        <v>1919</v>
      </c>
      <c r="E124" s="20" t="s">
        <v>1496</v>
      </c>
      <c r="F124" s="20" t="s">
        <v>1535</v>
      </c>
      <c r="G124" s="20" t="s">
        <v>1920</v>
      </c>
      <c r="H124" s="20" t="s">
        <v>1921</v>
      </c>
      <c r="I124" s="20" t="s">
        <v>1434</v>
      </c>
      <c r="J124" s="20" t="s">
        <v>78</v>
      </c>
      <c r="K124" s="20" t="s">
        <v>21</v>
      </c>
      <c r="L124" s="20" t="s">
        <v>1435</v>
      </c>
      <c r="M124" s="20" t="s">
        <v>1436</v>
      </c>
    </row>
    <row r="125" spans="1:13" ht="33.950000000000003" customHeight="1" x14ac:dyDescent="0.25">
      <c r="A125" s="20" t="s">
        <v>543</v>
      </c>
      <c r="B125" s="20" t="s">
        <v>544</v>
      </c>
      <c r="C125" s="20" t="s">
        <v>1922</v>
      </c>
      <c r="D125" s="20" t="s">
        <v>1923</v>
      </c>
      <c r="E125" s="20" t="s">
        <v>1496</v>
      </c>
      <c r="F125" s="20" t="s">
        <v>1605</v>
      </c>
      <c r="G125" s="20" t="s">
        <v>1924</v>
      </c>
      <c r="H125" s="20" t="s">
        <v>1925</v>
      </c>
      <c r="I125" s="20" t="s">
        <v>1434</v>
      </c>
      <c r="J125" s="20" t="s">
        <v>71</v>
      </c>
      <c r="K125" s="20" t="s">
        <v>21</v>
      </c>
      <c r="L125" s="20" t="s">
        <v>1435</v>
      </c>
      <c r="M125" s="20" t="s">
        <v>1436</v>
      </c>
    </row>
    <row r="126" spans="1:13" ht="33.950000000000003" customHeight="1" x14ac:dyDescent="0.25">
      <c r="A126" s="20" t="s">
        <v>547</v>
      </c>
      <c r="B126" s="20" t="s">
        <v>548</v>
      </c>
      <c r="C126" s="20" t="s">
        <v>1926</v>
      </c>
      <c r="D126" s="20" t="s">
        <v>1927</v>
      </c>
      <c r="E126" s="20" t="s">
        <v>1496</v>
      </c>
      <c r="F126" s="20" t="s">
        <v>1605</v>
      </c>
      <c r="G126" s="20" t="s">
        <v>1928</v>
      </c>
      <c r="H126" s="20" t="s">
        <v>1929</v>
      </c>
      <c r="I126" s="20" t="s">
        <v>1434</v>
      </c>
      <c r="J126" s="20" t="s">
        <v>71</v>
      </c>
      <c r="K126" s="20" t="s">
        <v>21</v>
      </c>
      <c r="L126" s="20" t="s">
        <v>1435</v>
      </c>
      <c r="M126" s="20" t="s">
        <v>1436</v>
      </c>
    </row>
    <row r="127" spans="1:13" ht="33.950000000000003" customHeight="1" x14ac:dyDescent="0.25">
      <c r="A127" s="20" t="s">
        <v>551</v>
      </c>
      <c r="B127" s="20" t="s">
        <v>552</v>
      </c>
      <c r="C127" s="20" t="s">
        <v>1930</v>
      </c>
      <c r="D127" s="20" t="s">
        <v>1931</v>
      </c>
      <c r="E127" s="20" t="s">
        <v>1496</v>
      </c>
      <c r="F127" s="20" t="s">
        <v>1605</v>
      </c>
      <c r="G127" s="20" t="s">
        <v>1932</v>
      </c>
      <c r="H127" s="20" t="s">
        <v>1933</v>
      </c>
      <c r="I127" s="20" t="s">
        <v>1434</v>
      </c>
      <c r="J127" s="20" t="s">
        <v>78</v>
      </c>
      <c r="K127" s="20" t="s">
        <v>21</v>
      </c>
      <c r="L127" s="20" t="s">
        <v>1435</v>
      </c>
      <c r="M127" s="20" t="s">
        <v>1436</v>
      </c>
    </row>
    <row r="128" spans="1:13" ht="33.950000000000003" customHeight="1" x14ac:dyDescent="0.25">
      <c r="A128" s="20" t="s">
        <v>555</v>
      </c>
      <c r="B128" s="20" t="s">
        <v>556</v>
      </c>
      <c r="C128" s="20" t="s">
        <v>1934</v>
      </c>
      <c r="D128" s="20" t="s">
        <v>1935</v>
      </c>
      <c r="E128" s="20" t="s">
        <v>1496</v>
      </c>
      <c r="F128" s="20" t="s">
        <v>1664</v>
      </c>
      <c r="G128" s="20" t="s">
        <v>1936</v>
      </c>
      <c r="H128" s="20" t="s">
        <v>1937</v>
      </c>
      <c r="I128" s="20" t="s">
        <v>1434</v>
      </c>
      <c r="J128" s="20" t="s">
        <v>78</v>
      </c>
      <c r="K128" s="20" t="s">
        <v>21</v>
      </c>
      <c r="L128" s="20" t="s">
        <v>1435</v>
      </c>
      <c r="M128" s="20" t="s">
        <v>1436</v>
      </c>
    </row>
    <row r="129" spans="1:13" ht="33.950000000000003" customHeight="1" x14ac:dyDescent="0.25">
      <c r="A129" s="20" t="s">
        <v>559</v>
      </c>
      <c r="B129" s="20" t="s">
        <v>560</v>
      </c>
      <c r="C129" s="20" t="s">
        <v>1938</v>
      </c>
      <c r="D129" s="20" t="s">
        <v>1939</v>
      </c>
      <c r="E129" s="20" t="s">
        <v>1496</v>
      </c>
      <c r="F129" s="20" t="s">
        <v>1691</v>
      </c>
      <c r="G129" s="20" t="s">
        <v>1940</v>
      </c>
      <c r="H129" s="20" t="s">
        <v>1941</v>
      </c>
      <c r="I129" s="20" t="s">
        <v>1434</v>
      </c>
      <c r="J129" s="20" t="s">
        <v>78</v>
      </c>
      <c r="K129" s="20" t="s">
        <v>21</v>
      </c>
      <c r="L129" s="20" t="s">
        <v>1435</v>
      </c>
      <c r="M129" s="20" t="s">
        <v>1436</v>
      </c>
    </row>
    <row r="130" spans="1:13" ht="33.950000000000003" customHeight="1" x14ac:dyDescent="0.25">
      <c r="A130" s="20" t="s">
        <v>563</v>
      </c>
      <c r="B130" s="20" t="s">
        <v>564</v>
      </c>
      <c r="C130" s="20" t="s">
        <v>1942</v>
      </c>
      <c r="D130" s="20" t="s">
        <v>1943</v>
      </c>
      <c r="E130" s="20" t="s">
        <v>1473</v>
      </c>
      <c r="F130" s="20" t="s">
        <v>1781</v>
      </c>
      <c r="G130" s="20" t="s">
        <v>1944</v>
      </c>
      <c r="H130" s="20" t="s">
        <v>1945</v>
      </c>
      <c r="I130" s="20" t="s">
        <v>1434</v>
      </c>
      <c r="J130" s="20" t="s">
        <v>71</v>
      </c>
      <c r="K130" s="20" t="s">
        <v>21</v>
      </c>
      <c r="L130" s="20" t="s">
        <v>1435</v>
      </c>
      <c r="M130" s="20" t="s">
        <v>1436</v>
      </c>
    </row>
    <row r="131" spans="1:13" ht="33.950000000000003" customHeight="1" x14ac:dyDescent="0.25">
      <c r="A131" s="20" t="s">
        <v>567</v>
      </c>
      <c r="B131" s="20" t="s">
        <v>568</v>
      </c>
      <c r="C131" s="20" t="s">
        <v>1946</v>
      </c>
      <c r="D131" s="20" t="s">
        <v>1947</v>
      </c>
      <c r="E131" s="20" t="s">
        <v>1496</v>
      </c>
      <c r="F131" s="20" t="s">
        <v>1948</v>
      </c>
      <c r="G131" s="20" t="s">
        <v>1949</v>
      </c>
      <c r="H131" s="20" t="s">
        <v>1950</v>
      </c>
      <c r="I131" s="20" t="s">
        <v>1434</v>
      </c>
      <c r="J131" s="20" t="s">
        <v>71</v>
      </c>
      <c r="K131" s="20" t="s">
        <v>21</v>
      </c>
      <c r="L131" s="20" t="s">
        <v>1435</v>
      </c>
      <c r="M131" s="20" t="s">
        <v>1436</v>
      </c>
    </row>
    <row r="132" spans="1:13" ht="33.950000000000003" customHeight="1" x14ac:dyDescent="0.25">
      <c r="A132" s="20" t="s">
        <v>571</v>
      </c>
      <c r="B132" s="20" t="s">
        <v>572</v>
      </c>
      <c r="C132" s="20" t="s">
        <v>1951</v>
      </c>
      <c r="D132" s="20" t="s">
        <v>1952</v>
      </c>
      <c r="E132" s="20" t="s">
        <v>1496</v>
      </c>
      <c r="F132" s="20" t="s">
        <v>1948</v>
      </c>
      <c r="G132" s="20" t="s">
        <v>1953</v>
      </c>
      <c r="H132" s="20" t="s">
        <v>1954</v>
      </c>
      <c r="I132" s="20" t="s">
        <v>1434</v>
      </c>
      <c r="J132" s="20" t="s">
        <v>71</v>
      </c>
      <c r="K132" s="20" t="s">
        <v>21</v>
      </c>
      <c r="L132" s="20" t="s">
        <v>1435</v>
      </c>
      <c r="M132" s="20" t="s">
        <v>1436</v>
      </c>
    </row>
    <row r="133" spans="1:13" ht="33.950000000000003" customHeight="1" x14ac:dyDescent="0.25">
      <c r="A133" s="20" t="s">
        <v>575</v>
      </c>
      <c r="B133" s="20" t="s">
        <v>576</v>
      </c>
      <c r="C133" s="20" t="s">
        <v>1955</v>
      </c>
      <c r="D133" s="20" t="s">
        <v>1956</v>
      </c>
      <c r="E133" s="20" t="s">
        <v>1430</v>
      </c>
      <c r="F133" s="20" t="s">
        <v>1948</v>
      </c>
      <c r="G133" s="20" t="s">
        <v>1957</v>
      </c>
      <c r="H133" s="20" t="s">
        <v>1958</v>
      </c>
      <c r="I133" s="20" t="s">
        <v>1434</v>
      </c>
      <c r="J133" s="20" t="s">
        <v>71</v>
      </c>
      <c r="K133" s="20" t="s">
        <v>21</v>
      </c>
      <c r="L133" s="20" t="s">
        <v>1435</v>
      </c>
      <c r="M133" s="20" t="s">
        <v>1436</v>
      </c>
    </row>
    <row r="134" spans="1:13" ht="33.950000000000003" customHeight="1" x14ac:dyDescent="0.25">
      <c r="A134" s="20" t="s">
        <v>579</v>
      </c>
      <c r="B134" s="20" t="s">
        <v>580</v>
      </c>
      <c r="C134" s="20" t="s">
        <v>1959</v>
      </c>
      <c r="D134" s="20" t="s">
        <v>1960</v>
      </c>
      <c r="E134" s="20" t="s">
        <v>1496</v>
      </c>
      <c r="F134" s="20" t="s">
        <v>1948</v>
      </c>
      <c r="G134" s="20" t="s">
        <v>1961</v>
      </c>
      <c r="H134" s="20" t="s">
        <v>1962</v>
      </c>
      <c r="I134" s="20" t="s">
        <v>1434</v>
      </c>
      <c r="J134" s="20" t="s">
        <v>78</v>
      </c>
      <c r="K134" s="20" t="s">
        <v>21</v>
      </c>
      <c r="L134" s="20" t="s">
        <v>1435</v>
      </c>
      <c r="M134" s="20" t="s">
        <v>1436</v>
      </c>
    </row>
  </sheetData>
  <mergeCells count="2">
    <mergeCell ref="A2:M2"/>
    <mergeCell ref="A1:M1"/>
  </mergeCells>
  <conditionalFormatting sqref="K4:K134">
    <cfRule type="expression" dxfId="63" priority="1">
      <formula>$K4="✅ Verificado"</formula>
    </cfRule>
    <cfRule type="expression" dxfId="62" priority="2">
      <formula>$K4="✅ Trazado"</formula>
    </cfRule>
    <cfRule type="expression" dxfId="61" priority="3">
      <formula>$K4="✅ Documentado"</formula>
    </cfRule>
    <cfRule type="expression" dxfId="60" priority="4">
      <formula>$K4="🧪 Planificado"</formula>
    </cfRule>
    <cfRule type="expression" dxfId="59" priority="5">
      <formula>$K4="⚠ Validar brecha v2.0"</formula>
    </cfRule>
    <cfRule type="expression" dxfId="58" priority="6">
      <formula>$K4="⏳ Pendiente"</formula>
    </cfRule>
    <cfRule type="expression" dxfId="57" priority="7">
      <formula>$K4="🔄 En Progreso"</formula>
    </cfRule>
    <cfRule type="expression" dxfId="56" priority="8">
      <formula>$K4="❌ No Cumplido"</formula>
    </cfRule>
  </conditionalFormatting>
  <dataValidations count="4">
    <dataValidation type="list" allowBlank="1" sqref="K4 K5 K6 K7 K8 K9 K10 K11 K12 K13 K14 K15 K16 K17 K18 K19 K20 K21 K22 K23 K24 K25 K26 K27 K28 K29 K30" xr:uid="{00000000-0002-0000-0300-000000000000}">
      <formula1>"✅ Verificado,🔄 En Progreso,❌ No Cumplido,⏳ Pendiente,🚫 Cancelado"</formula1>
    </dataValidation>
    <dataValidation type="list" allowBlank="1" sqref="J4 J5 J6 J7 J8 J9 J10 J11 J12 J13 J14 J15 J16 J17 J18 J19 J20 J21 J22 J23 J24 J25 J26 J27 J28 J29 J30" xr:uid="{00000000-0002-0000-0300-000001000000}">
      <formula1>"Alta,Media,Baja"</formula1>
    </dataValidation>
    <dataValidation type="list" sqref="J4:J134" xr:uid="{00000000-0002-0000-0300-000002000000}">
      <formula1>"Alta,Media,Baja"</formula1>
    </dataValidation>
    <dataValidation type="list" sqref="K4:K134" xr:uid="{00000000-0002-0000-0300-000003000000}">
      <formula1>"🧪 Planificado,🔄 En Progreso,✅ Verificado,❌ No Cumplido,🚫 Cancelado"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34"/>
  <sheetViews>
    <sheetView showGridLines="0" topLeftCell="G22" workbookViewId="0">
      <selection sqref="A1:M1"/>
    </sheetView>
  </sheetViews>
  <sheetFormatPr baseColWidth="10" defaultColWidth="9.140625" defaultRowHeight="15" x14ac:dyDescent="0.25"/>
  <cols>
    <col min="1" max="1" width="22" customWidth="1"/>
    <col min="2" max="2" width="36" customWidth="1"/>
    <col min="3" max="3" width="32" customWidth="1"/>
    <col min="4" max="4" width="12" customWidth="1"/>
    <col min="5" max="5" width="22" customWidth="1"/>
    <col min="6" max="6" width="46" customWidth="1"/>
    <col min="7" max="7" width="40" customWidth="1"/>
    <col min="8" max="8" width="22" customWidth="1"/>
    <col min="9" max="9" width="24" customWidth="1"/>
    <col min="10" max="10" width="22" customWidth="1"/>
    <col min="11" max="12" width="18" customWidth="1"/>
    <col min="13" max="13" width="58" customWidth="1"/>
  </cols>
  <sheetData>
    <row r="1" spans="1:13" ht="27.95" customHeight="1" x14ac:dyDescent="0.25">
      <c r="A1" s="65" t="s">
        <v>1963</v>
      </c>
      <c r="B1" s="66"/>
      <c r="C1" s="66"/>
      <c r="D1" s="66"/>
      <c r="E1" s="66"/>
      <c r="F1" s="66"/>
      <c r="G1" s="66"/>
      <c r="H1" s="66"/>
      <c r="I1" s="66"/>
      <c r="J1" s="66"/>
      <c r="K1" s="66"/>
      <c r="L1" s="66"/>
      <c r="M1" s="66"/>
    </row>
    <row r="2" spans="1:13" ht="21.95" customHeight="1" x14ac:dyDescent="0.25">
      <c r="A2" s="55" t="s">
        <v>1964</v>
      </c>
      <c r="B2" s="57"/>
      <c r="C2" s="57"/>
      <c r="D2" s="57"/>
      <c r="E2" s="57"/>
      <c r="F2" s="57"/>
      <c r="G2" s="57"/>
      <c r="H2" s="57"/>
      <c r="I2" s="57"/>
      <c r="J2" s="57"/>
      <c r="K2" s="57"/>
      <c r="L2" s="57"/>
      <c r="M2" s="57"/>
    </row>
    <row r="3" spans="1:13" ht="30" customHeight="1" x14ac:dyDescent="0.25">
      <c r="A3" s="12" t="s">
        <v>585</v>
      </c>
      <c r="B3" s="12" t="s">
        <v>586</v>
      </c>
      <c r="C3" s="12" t="s">
        <v>1965</v>
      </c>
      <c r="D3" s="12" t="s">
        <v>63</v>
      </c>
      <c r="E3" s="12" t="s">
        <v>60</v>
      </c>
      <c r="F3" s="12" t="s">
        <v>1966</v>
      </c>
      <c r="G3" s="12" t="s">
        <v>1967</v>
      </c>
      <c r="H3" s="12" t="s">
        <v>1419</v>
      </c>
      <c r="I3" s="12" t="s">
        <v>1421</v>
      </c>
      <c r="J3" s="12" t="s">
        <v>1968</v>
      </c>
      <c r="K3" s="12" t="s">
        <v>1969</v>
      </c>
      <c r="L3" s="12" t="s">
        <v>1970</v>
      </c>
      <c r="M3" s="12" t="s">
        <v>65</v>
      </c>
    </row>
    <row r="4" spans="1:13" ht="30" customHeight="1" x14ac:dyDescent="0.25">
      <c r="A4" s="13" t="s">
        <v>66</v>
      </c>
      <c r="B4" s="13" t="s">
        <v>67</v>
      </c>
      <c r="C4" s="13" t="s">
        <v>68</v>
      </c>
      <c r="D4" s="14" t="s">
        <v>71</v>
      </c>
      <c r="E4" s="13" t="s">
        <v>69</v>
      </c>
      <c r="F4" s="13" t="s">
        <v>1971</v>
      </c>
      <c r="G4" s="13" t="s">
        <v>1972</v>
      </c>
      <c r="H4" s="13" t="s">
        <v>1428</v>
      </c>
      <c r="I4" s="13" t="s">
        <v>1430</v>
      </c>
      <c r="J4" s="15" t="s">
        <v>1973</v>
      </c>
      <c r="K4" s="15" t="s">
        <v>1973</v>
      </c>
      <c r="L4" s="15" t="s">
        <v>21</v>
      </c>
      <c r="M4" s="13" t="s">
        <v>1974</v>
      </c>
    </row>
    <row r="5" spans="1:13" ht="30" customHeight="1" x14ac:dyDescent="0.25">
      <c r="A5" s="16" t="s">
        <v>74</v>
      </c>
      <c r="B5" s="16" t="s">
        <v>75</v>
      </c>
      <c r="C5" s="16" t="s">
        <v>68</v>
      </c>
      <c r="D5" s="17" t="s">
        <v>78</v>
      </c>
      <c r="E5" s="16" t="s">
        <v>76</v>
      </c>
      <c r="F5" s="16" t="s">
        <v>1971</v>
      </c>
      <c r="G5" s="16" t="s">
        <v>1972</v>
      </c>
      <c r="H5" s="16" t="s">
        <v>1437</v>
      </c>
      <c r="I5" s="16" t="s">
        <v>1430</v>
      </c>
      <c r="J5" s="15" t="s">
        <v>1973</v>
      </c>
      <c r="K5" s="15" t="s">
        <v>1973</v>
      </c>
      <c r="L5" s="15" t="s">
        <v>21</v>
      </c>
      <c r="M5" s="16" t="s">
        <v>1975</v>
      </c>
    </row>
    <row r="6" spans="1:13" ht="30" customHeight="1" x14ac:dyDescent="0.25">
      <c r="A6" s="13" t="s">
        <v>80</v>
      </c>
      <c r="B6" s="13" t="s">
        <v>81</v>
      </c>
      <c r="C6" s="13" t="s">
        <v>68</v>
      </c>
      <c r="D6" s="14" t="s">
        <v>71</v>
      </c>
      <c r="E6" s="13" t="s">
        <v>82</v>
      </c>
      <c r="F6" s="13" t="s">
        <v>1971</v>
      </c>
      <c r="G6" s="13" t="s">
        <v>1972</v>
      </c>
      <c r="H6" s="13" t="s">
        <v>1442</v>
      </c>
      <c r="I6" s="13" t="s">
        <v>1430</v>
      </c>
      <c r="J6" s="15" t="s">
        <v>1973</v>
      </c>
      <c r="K6" s="15" t="s">
        <v>1973</v>
      </c>
      <c r="L6" s="18" t="s">
        <v>21</v>
      </c>
      <c r="M6" s="13" t="s">
        <v>1975</v>
      </c>
    </row>
    <row r="7" spans="1:13" ht="30" customHeight="1" x14ac:dyDescent="0.25">
      <c r="A7" s="16" t="s">
        <v>84</v>
      </c>
      <c r="B7" s="16" t="s">
        <v>85</v>
      </c>
      <c r="C7" s="16" t="s">
        <v>68</v>
      </c>
      <c r="D7" s="17" t="s">
        <v>78</v>
      </c>
      <c r="E7" s="16" t="s">
        <v>86</v>
      </c>
      <c r="F7" s="16" t="s">
        <v>1971</v>
      </c>
      <c r="G7" s="16" t="s">
        <v>1972</v>
      </c>
      <c r="H7" s="16" t="s">
        <v>1447</v>
      </c>
      <c r="I7" s="16" t="s">
        <v>1430</v>
      </c>
      <c r="J7" s="18" t="s">
        <v>1973</v>
      </c>
      <c r="K7" s="18" t="s">
        <v>1973</v>
      </c>
      <c r="L7" s="19" t="s">
        <v>21</v>
      </c>
      <c r="M7" s="16" t="s">
        <v>1976</v>
      </c>
    </row>
    <row r="8" spans="1:13" ht="30" customHeight="1" x14ac:dyDescent="0.25">
      <c r="A8" s="13" t="s">
        <v>88</v>
      </c>
      <c r="B8" s="13" t="s">
        <v>89</v>
      </c>
      <c r="C8" s="13" t="s">
        <v>68</v>
      </c>
      <c r="D8" s="14" t="s">
        <v>78</v>
      </c>
      <c r="E8" s="13" t="s">
        <v>90</v>
      </c>
      <c r="F8" s="13" t="s">
        <v>1971</v>
      </c>
      <c r="G8" s="13" t="s">
        <v>1972</v>
      </c>
      <c r="H8" s="13" t="s">
        <v>1451</v>
      </c>
      <c r="I8" s="13" t="s">
        <v>1430</v>
      </c>
      <c r="J8" s="18" t="s">
        <v>1973</v>
      </c>
      <c r="K8" s="18" t="s">
        <v>1973</v>
      </c>
      <c r="L8" s="19" t="s">
        <v>21</v>
      </c>
      <c r="M8" s="13" t="s">
        <v>1975</v>
      </c>
    </row>
    <row r="9" spans="1:13" ht="30" customHeight="1" x14ac:dyDescent="0.25">
      <c r="A9" s="16" t="s">
        <v>91</v>
      </c>
      <c r="B9" s="16" t="s">
        <v>92</v>
      </c>
      <c r="C9" s="16" t="s">
        <v>68</v>
      </c>
      <c r="D9" s="17" t="s">
        <v>94</v>
      </c>
      <c r="E9" s="16" t="s">
        <v>93</v>
      </c>
      <c r="F9" s="16" t="s">
        <v>1971</v>
      </c>
      <c r="G9" s="16" t="s">
        <v>1972</v>
      </c>
      <c r="H9" s="16" t="s">
        <v>1455</v>
      </c>
      <c r="I9" s="16" t="s">
        <v>1430</v>
      </c>
      <c r="J9" s="19" t="s">
        <v>1973</v>
      </c>
      <c r="K9" s="19" t="s">
        <v>1973</v>
      </c>
      <c r="L9" s="19" t="s">
        <v>21</v>
      </c>
      <c r="M9" s="16" t="s">
        <v>1975</v>
      </c>
    </row>
    <row r="10" spans="1:13" ht="30" customHeight="1" x14ac:dyDescent="0.25">
      <c r="A10" s="13" t="s">
        <v>95</v>
      </c>
      <c r="B10" s="13" t="s">
        <v>96</v>
      </c>
      <c r="C10" s="13" t="s">
        <v>68</v>
      </c>
      <c r="D10" s="14" t="s">
        <v>94</v>
      </c>
      <c r="E10" s="13" t="s">
        <v>97</v>
      </c>
      <c r="F10" s="13" t="s">
        <v>1971</v>
      </c>
      <c r="G10" s="13" t="s">
        <v>1972</v>
      </c>
      <c r="H10" s="13" t="s">
        <v>1459</v>
      </c>
      <c r="I10" s="13" t="s">
        <v>1430</v>
      </c>
      <c r="J10" s="19" t="s">
        <v>1973</v>
      </c>
      <c r="K10" s="19" t="s">
        <v>1973</v>
      </c>
      <c r="L10" s="19" t="s">
        <v>21</v>
      </c>
      <c r="M10" s="13" t="s">
        <v>1975</v>
      </c>
    </row>
    <row r="11" spans="1:13" ht="30" customHeight="1" x14ac:dyDescent="0.25">
      <c r="A11" s="16" t="s">
        <v>98</v>
      </c>
      <c r="B11" s="16" t="s">
        <v>99</v>
      </c>
      <c r="C11" s="16" t="s">
        <v>68</v>
      </c>
      <c r="D11" s="17" t="s">
        <v>78</v>
      </c>
      <c r="E11" s="16" t="s">
        <v>100</v>
      </c>
      <c r="F11" s="16" t="s">
        <v>1971</v>
      </c>
      <c r="G11" s="16" t="s">
        <v>1972</v>
      </c>
      <c r="H11" s="16" t="s">
        <v>1463</v>
      </c>
      <c r="I11" s="16" t="s">
        <v>1430</v>
      </c>
      <c r="J11" s="19" t="s">
        <v>1973</v>
      </c>
      <c r="K11" s="19" t="s">
        <v>1973</v>
      </c>
      <c r="L11" s="19" t="s">
        <v>21</v>
      </c>
      <c r="M11" s="16" t="s">
        <v>1976</v>
      </c>
    </row>
    <row r="12" spans="1:13" ht="30" customHeight="1" x14ac:dyDescent="0.25">
      <c r="A12" s="13" t="s">
        <v>101</v>
      </c>
      <c r="B12" s="13" t="s">
        <v>102</v>
      </c>
      <c r="C12" s="13" t="s">
        <v>68</v>
      </c>
      <c r="D12" s="14" t="s">
        <v>71</v>
      </c>
      <c r="E12" s="13" t="s">
        <v>103</v>
      </c>
      <c r="F12" s="13" t="s">
        <v>1971</v>
      </c>
      <c r="G12" s="13" t="s">
        <v>1972</v>
      </c>
      <c r="H12" s="13" t="s">
        <v>1467</v>
      </c>
      <c r="I12" s="13" t="s">
        <v>1430</v>
      </c>
      <c r="J12" s="18" t="s">
        <v>1973</v>
      </c>
      <c r="K12" s="18" t="s">
        <v>1973</v>
      </c>
      <c r="L12" s="18" t="s">
        <v>21</v>
      </c>
      <c r="M12" s="13" t="s">
        <v>1977</v>
      </c>
    </row>
    <row r="13" spans="1:13" ht="30" customHeight="1" x14ac:dyDescent="0.25">
      <c r="A13" s="16" t="s">
        <v>105</v>
      </c>
      <c r="B13" s="16" t="s">
        <v>106</v>
      </c>
      <c r="C13" s="16" t="s">
        <v>107</v>
      </c>
      <c r="D13" s="17" t="s">
        <v>71</v>
      </c>
      <c r="E13" s="16" t="s">
        <v>108</v>
      </c>
      <c r="F13" s="16" t="s">
        <v>1978</v>
      </c>
      <c r="G13" s="16" t="s">
        <v>1979</v>
      </c>
      <c r="H13" s="16" t="s">
        <v>1471</v>
      </c>
      <c r="I13" s="16" t="s">
        <v>1473</v>
      </c>
      <c r="J13" s="19" t="s">
        <v>1973</v>
      </c>
      <c r="K13" s="19" t="s">
        <v>1973</v>
      </c>
      <c r="L13" s="19" t="s">
        <v>21</v>
      </c>
      <c r="M13" s="16" t="s">
        <v>1980</v>
      </c>
    </row>
    <row r="14" spans="1:13" ht="30" customHeight="1" x14ac:dyDescent="0.25">
      <c r="A14" s="13" t="s">
        <v>109</v>
      </c>
      <c r="B14" s="13" t="s">
        <v>110</v>
      </c>
      <c r="C14" s="13" t="s">
        <v>107</v>
      </c>
      <c r="D14" s="13" t="s">
        <v>78</v>
      </c>
      <c r="E14" s="13" t="s">
        <v>111</v>
      </c>
      <c r="F14" s="13" t="s">
        <v>1978</v>
      </c>
      <c r="G14" s="13" t="s">
        <v>1979</v>
      </c>
      <c r="H14" s="13" t="s">
        <v>1477</v>
      </c>
      <c r="I14" s="13" t="s">
        <v>1473</v>
      </c>
      <c r="J14" s="13" t="s">
        <v>1973</v>
      </c>
      <c r="K14" s="13" t="s">
        <v>1973</v>
      </c>
      <c r="L14" s="13" t="s">
        <v>21</v>
      </c>
      <c r="M14" s="13" t="s">
        <v>1981</v>
      </c>
    </row>
    <row r="15" spans="1:13" ht="30" customHeight="1" x14ac:dyDescent="0.25">
      <c r="A15" s="16" t="s">
        <v>112</v>
      </c>
      <c r="B15" s="16" t="s">
        <v>113</v>
      </c>
      <c r="C15" s="16" t="s">
        <v>107</v>
      </c>
      <c r="D15" s="16" t="s">
        <v>71</v>
      </c>
      <c r="E15" s="16" t="s">
        <v>114</v>
      </c>
      <c r="F15" s="16" t="s">
        <v>1978</v>
      </c>
      <c r="G15" s="16" t="s">
        <v>1979</v>
      </c>
      <c r="H15" s="16" t="s">
        <v>1482</v>
      </c>
      <c r="I15" s="16" t="s">
        <v>1473</v>
      </c>
      <c r="J15" s="16" t="s">
        <v>1973</v>
      </c>
      <c r="K15" s="16" t="s">
        <v>1973</v>
      </c>
      <c r="L15" s="16" t="s">
        <v>21</v>
      </c>
      <c r="M15" s="16" t="s">
        <v>1982</v>
      </c>
    </row>
    <row r="16" spans="1:13" ht="30" customHeight="1" x14ac:dyDescent="0.25">
      <c r="A16" s="13" t="s">
        <v>116</v>
      </c>
      <c r="B16" s="13" t="s">
        <v>117</v>
      </c>
      <c r="C16" s="13" t="s">
        <v>107</v>
      </c>
      <c r="D16" s="13" t="s">
        <v>78</v>
      </c>
      <c r="E16" s="13" t="s">
        <v>118</v>
      </c>
      <c r="F16" s="13" t="s">
        <v>1978</v>
      </c>
      <c r="G16" s="13" t="s">
        <v>1979</v>
      </c>
      <c r="H16" s="13" t="s">
        <v>1486</v>
      </c>
      <c r="I16" s="13" t="s">
        <v>1473</v>
      </c>
      <c r="J16" s="13" t="s">
        <v>1973</v>
      </c>
      <c r="K16" s="13" t="s">
        <v>1973</v>
      </c>
      <c r="L16" s="13" t="s">
        <v>21</v>
      </c>
      <c r="M16" s="13" t="s">
        <v>1982</v>
      </c>
    </row>
    <row r="17" spans="1:13" ht="30" customHeight="1" x14ac:dyDescent="0.25">
      <c r="A17" s="16" t="s">
        <v>119</v>
      </c>
      <c r="B17" s="16" t="s">
        <v>120</v>
      </c>
      <c r="C17" s="16" t="s">
        <v>107</v>
      </c>
      <c r="D17" s="16" t="s">
        <v>78</v>
      </c>
      <c r="E17" s="16" t="s">
        <v>121</v>
      </c>
      <c r="F17" s="16" t="s">
        <v>1978</v>
      </c>
      <c r="G17" s="16" t="s">
        <v>1979</v>
      </c>
      <c r="H17" s="16" t="s">
        <v>1490</v>
      </c>
      <c r="I17" s="16" t="s">
        <v>1430</v>
      </c>
      <c r="J17" s="16" t="s">
        <v>1973</v>
      </c>
      <c r="K17" s="16" t="s">
        <v>1973</v>
      </c>
      <c r="L17" s="16" t="s">
        <v>21</v>
      </c>
      <c r="M17" s="16" t="s">
        <v>1983</v>
      </c>
    </row>
    <row r="18" spans="1:13" ht="30" customHeight="1" x14ac:dyDescent="0.25">
      <c r="A18" s="13" t="s">
        <v>124</v>
      </c>
      <c r="B18" s="13" t="s">
        <v>125</v>
      </c>
      <c r="C18" s="13" t="s">
        <v>126</v>
      </c>
      <c r="D18" s="13" t="s">
        <v>71</v>
      </c>
      <c r="E18" s="13" t="s">
        <v>127</v>
      </c>
      <c r="F18" s="13" t="s">
        <v>1984</v>
      </c>
      <c r="G18" s="13" t="s">
        <v>1985</v>
      </c>
      <c r="H18" s="13" t="s">
        <v>1494</v>
      </c>
      <c r="I18" s="13" t="s">
        <v>1496</v>
      </c>
      <c r="J18" s="13" t="s">
        <v>1973</v>
      </c>
      <c r="K18" s="13" t="s">
        <v>1973</v>
      </c>
      <c r="L18" s="13" t="s">
        <v>21</v>
      </c>
      <c r="M18" s="13" t="s">
        <v>1986</v>
      </c>
    </row>
    <row r="19" spans="1:13" ht="30" customHeight="1" x14ac:dyDescent="0.25">
      <c r="A19" s="16" t="s">
        <v>129</v>
      </c>
      <c r="B19" s="16" t="s">
        <v>130</v>
      </c>
      <c r="C19" s="16" t="s">
        <v>126</v>
      </c>
      <c r="D19" s="16" t="s">
        <v>71</v>
      </c>
      <c r="E19" s="16" t="s">
        <v>131</v>
      </c>
      <c r="F19" s="16" t="s">
        <v>1984</v>
      </c>
      <c r="G19" s="16" t="s">
        <v>1985</v>
      </c>
      <c r="H19" s="16" t="s">
        <v>1499</v>
      </c>
      <c r="I19" s="16" t="s">
        <v>1501</v>
      </c>
      <c r="J19" s="16" t="s">
        <v>1973</v>
      </c>
      <c r="K19" s="16" t="s">
        <v>1973</v>
      </c>
      <c r="L19" s="16" t="s">
        <v>21</v>
      </c>
      <c r="M19" s="16" t="s">
        <v>1987</v>
      </c>
    </row>
    <row r="20" spans="1:13" ht="30" customHeight="1" x14ac:dyDescent="0.25">
      <c r="A20" s="13" t="s">
        <v>133</v>
      </c>
      <c r="B20" s="13" t="s">
        <v>134</v>
      </c>
      <c r="C20" s="13" t="s">
        <v>126</v>
      </c>
      <c r="D20" s="13" t="s">
        <v>71</v>
      </c>
      <c r="E20" s="13" t="s">
        <v>135</v>
      </c>
      <c r="F20" s="13" t="s">
        <v>1984</v>
      </c>
      <c r="G20" s="13" t="s">
        <v>1985</v>
      </c>
      <c r="H20" s="13" t="s">
        <v>1505</v>
      </c>
      <c r="I20" s="13" t="s">
        <v>1496</v>
      </c>
      <c r="J20" s="13" t="s">
        <v>1973</v>
      </c>
      <c r="K20" s="13" t="s">
        <v>1973</v>
      </c>
      <c r="L20" s="13" t="s">
        <v>21</v>
      </c>
      <c r="M20" s="13" t="s">
        <v>1988</v>
      </c>
    </row>
    <row r="21" spans="1:13" ht="30" customHeight="1" x14ac:dyDescent="0.25">
      <c r="A21" s="16" t="s">
        <v>137</v>
      </c>
      <c r="B21" s="16" t="s">
        <v>138</v>
      </c>
      <c r="C21" s="16" t="s">
        <v>126</v>
      </c>
      <c r="D21" s="16" t="s">
        <v>78</v>
      </c>
      <c r="E21" s="16" t="s">
        <v>139</v>
      </c>
      <c r="F21" s="16" t="s">
        <v>1984</v>
      </c>
      <c r="G21" s="16" t="s">
        <v>1985</v>
      </c>
      <c r="H21" s="16" t="s">
        <v>1509</v>
      </c>
      <c r="I21" s="16" t="s">
        <v>1496</v>
      </c>
      <c r="J21" s="16" t="s">
        <v>1973</v>
      </c>
      <c r="K21" s="16" t="s">
        <v>1973</v>
      </c>
      <c r="L21" s="16" t="s">
        <v>21</v>
      </c>
      <c r="M21" s="16" t="s">
        <v>1988</v>
      </c>
    </row>
    <row r="22" spans="1:13" ht="30" customHeight="1" x14ac:dyDescent="0.25">
      <c r="A22" s="13" t="s">
        <v>140</v>
      </c>
      <c r="B22" s="13" t="s">
        <v>141</v>
      </c>
      <c r="C22" s="13" t="s">
        <v>126</v>
      </c>
      <c r="D22" s="13" t="s">
        <v>78</v>
      </c>
      <c r="E22" s="13" t="s">
        <v>142</v>
      </c>
      <c r="F22" s="13" t="s">
        <v>1984</v>
      </c>
      <c r="G22" s="13" t="s">
        <v>1985</v>
      </c>
      <c r="H22" s="13" t="s">
        <v>1513</v>
      </c>
      <c r="I22" s="13" t="s">
        <v>1496</v>
      </c>
      <c r="J22" s="13" t="s">
        <v>1973</v>
      </c>
      <c r="K22" s="13" t="s">
        <v>1973</v>
      </c>
      <c r="L22" s="13" t="s">
        <v>21</v>
      </c>
      <c r="M22" s="13" t="s">
        <v>1988</v>
      </c>
    </row>
    <row r="23" spans="1:13" ht="30" customHeight="1" x14ac:dyDescent="0.25">
      <c r="A23" s="16" t="s">
        <v>144</v>
      </c>
      <c r="B23" s="16" t="s">
        <v>145</v>
      </c>
      <c r="C23" s="16" t="s">
        <v>126</v>
      </c>
      <c r="D23" s="16" t="s">
        <v>78</v>
      </c>
      <c r="E23" s="16" t="s">
        <v>146</v>
      </c>
      <c r="F23" s="16" t="s">
        <v>1984</v>
      </c>
      <c r="G23" s="16" t="s">
        <v>1985</v>
      </c>
      <c r="H23" s="16" t="s">
        <v>1517</v>
      </c>
      <c r="I23" s="16" t="s">
        <v>1496</v>
      </c>
      <c r="J23" s="16" t="s">
        <v>1973</v>
      </c>
      <c r="K23" s="16" t="s">
        <v>1973</v>
      </c>
      <c r="L23" s="16" t="s">
        <v>21</v>
      </c>
      <c r="M23" s="16" t="s">
        <v>1989</v>
      </c>
    </row>
    <row r="24" spans="1:13" ht="30" customHeight="1" x14ac:dyDescent="0.25">
      <c r="A24" s="13" t="s">
        <v>148</v>
      </c>
      <c r="B24" s="13" t="s">
        <v>149</v>
      </c>
      <c r="C24" s="13" t="s">
        <v>126</v>
      </c>
      <c r="D24" s="13" t="s">
        <v>78</v>
      </c>
      <c r="E24" s="13" t="s">
        <v>150</v>
      </c>
      <c r="F24" s="13" t="s">
        <v>1984</v>
      </c>
      <c r="G24" s="13" t="s">
        <v>1985</v>
      </c>
      <c r="H24" s="13" t="s">
        <v>1521</v>
      </c>
      <c r="I24" s="13" t="s">
        <v>1501</v>
      </c>
      <c r="J24" s="13" t="s">
        <v>1973</v>
      </c>
      <c r="K24" s="13" t="s">
        <v>1973</v>
      </c>
      <c r="L24" s="13" t="s">
        <v>21</v>
      </c>
      <c r="M24" s="13" t="s">
        <v>1988</v>
      </c>
    </row>
    <row r="25" spans="1:13" ht="30" customHeight="1" x14ac:dyDescent="0.25">
      <c r="A25" s="16" t="s">
        <v>152</v>
      </c>
      <c r="B25" s="16" t="s">
        <v>153</v>
      </c>
      <c r="C25" s="16" t="s">
        <v>126</v>
      </c>
      <c r="D25" s="16" t="s">
        <v>78</v>
      </c>
      <c r="E25" s="16" t="s">
        <v>154</v>
      </c>
      <c r="F25" s="16" t="s">
        <v>1984</v>
      </c>
      <c r="G25" s="16" t="s">
        <v>1985</v>
      </c>
      <c r="H25" s="16" t="s">
        <v>1525</v>
      </c>
      <c r="I25" s="16" t="s">
        <v>1496</v>
      </c>
      <c r="J25" s="16" t="s">
        <v>1973</v>
      </c>
      <c r="K25" s="16" t="s">
        <v>1973</v>
      </c>
      <c r="L25" s="16" t="s">
        <v>21</v>
      </c>
      <c r="M25" s="16" t="s">
        <v>1988</v>
      </c>
    </row>
    <row r="26" spans="1:13" ht="30" customHeight="1" x14ac:dyDescent="0.25">
      <c r="A26" s="13" t="s">
        <v>155</v>
      </c>
      <c r="B26" s="13" t="s">
        <v>156</v>
      </c>
      <c r="C26" s="13" t="s">
        <v>126</v>
      </c>
      <c r="D26" s="13" t="s">
        <v>94</v>
      </c>
      <c r="E26" s="13" t="s">
        <v>157</v>
      </c>
      <c r="F26" s="13" t="s">
        <v>1984</v>
      </c>
      <c r="G26" s="13" t="s">
        <v>1985</v>
      </c>
      <c r="H26" s="13" t="s">
        <v>1529</v>
      </c>
      <c r="I26" s="13" t="s">
        <v>1496</v>
      </c>
      <c r="J26" s="13" t="s">
        <v>1973</v>
      </c>
      <c r="K26" s="13" t="s">
        <v>1973</v>
      </c>
      <c r="L26" s="13" t="s">
        <v>21</v>
      </c>
      <c r="M26" s="13" t="s">
        <v>1987</v>
      </c>
    </row>
    <row r="27" spans="1:13" ht="30" customHeight="1" x14ac:dyDescent="0.25">
      <c r="A27" s="16" t="s">
        <v>158</v>
      </c>
      <c r="B27" s="16" t="s">
        <v>159</v>
      </c>
      <c r="C27" s="16" t="s">
        <v>160</v>
      </c>
      <c r="D27" s="16" t="s">
        <v>71</v>
      </c>
      <c r="E27" s="16" t="s">
        <v>161</v>
      </c>
      <c r="F27" s="16" t="s">
        <v>1984</v>
      </c>
      <c r="G27" s="16" t="s">
        <v>1985</v>
      </c>
      <c r="H27" s="16" t="s">
        <v>1533</v>
      </c>
      <c r="I27" s="16" t="s">
        <v>1496</v>
      </c>
      <c r="J27" s="16" t="s">
        <v>1973</v>
      </c>
      <c r="K27" s="16" t="s">
        <v>1973</v>
      </c>
      <c r="L27" s="16" t="s">
        <v>21</v>
      </c>
      <c r="M27" s="16" t="s">
        <v>1990</v>
      </c>
    </row>
    <row r="28" spans="1:13" ht="30" customHeight="1" x14ac:dyDescent="0.25">
      <c r="A28" s="13" t="s">
        <v>163</v>
      </c>
      <c r="B28" s="13" t="s">
        <v>164</v>
      </c>
      <c r="C28" s="13" t="s">
        <v>160</v>
      </c>
      <c r="D28" s="13" t="s">
        <v>71</v>
      </c>
      <c r="E28" s="13" t="s">
        <v>165</v>
      </c>
      <c r="F28" s="13" t="s">
        <v>1984</v>
      </c>
      <c r="G28" s="13" t="s">
        <v>1985</v>
      </c>
      <c r="H28" s="13" t="s">
        <v>1538</v>
      </c>
      <c r="I28" s="13" t="s">
        <v>1496</v>
      </c>
      <c r="J28" s="13" t="s">
        <v>1973</v>
      </c>
      <c r="K28" s="13" t="s">
        <v>1973</v>
      </c>
      <c r="L28" s="13" t="s">
        <v>21</v>
      </c>
      <c r="M28" s="13" t="s">
        <v>1991</v>
      </c>
    </row>
    <row r="29" spans="1:13" ht="30" customHeight="1" x14ac:dyDescent="0.25">
      <c r="A29" s="16" t="s">
        <v>167</v>
      </c>
      <c r="B29" s="16" t="s">
        <v>168</v>
      </c>
      <c r="C29" s="16" t="s">
        <v>160</v>
      </c>
      <c r="D29" s="16" t="s">
        <v>78</v>
      </c>
      <c r="E29" s="16" t="s">
        <v>169</v>
      </c>
      <c r="F29" s="16" t="s">
        <v>1984</v>
      </c>
      <c r="G29" s="16" t="s">
        <v>1985</v>
      </c>
      <c r="H29" s="16" t="s">
        <v>1542</v>
      </c>
      <c r="I29" s="16" t="s">
        <v>1496</v>
      </c>
      <c r="J29" s="16" t="s">
        <v>1973</v>
      </c>
      <c r="K29" s="16" t="s">
        <v>1973</v>
      </c>
      <c r="L29" s="16" t="s">
        <v>21</v>
      </c>
      <c r="M29" s="16" t="s">
        <v>1992</v>
      </c>
    </row>
    <row r="30" spans="1:13" ht="30" customHeight="1" x14ac:dyDescent="0.25">
      <c r="A30" s="13" t="s">
        <v>171</v>
      </c>
      <c r="B30" s="13" t="s">
        <v>172</v>
      </c>
      <c r="C30" s="13" t="s">
        <v>160</v>
      </c>
      <c r="D30" s="13" t="s">
        <v>71</v>
      </c>
      <c r="E30" s="13" t="s">
        <v>173</v>
      </c>
      <c r="F30" s="13" t="s">
        <v>1984</v>
      </c>
      <c r="G30" s="13" t="s">
        <v>1985</v>
      </c>
      <c r="H30" s="13" t="s">
        <v>1546</v>
      </c>
      <c r="I30" s="13" t="s">
        <v>1496</v>
      </c>
      <c r="J30" s="13" t="s">
        <v>1973</v>
      </c>
      <c r="K30" s="13" t="s">
        <v>1973</v>
      </c>
      <c r="L30" s="13" t="s">
        <v>21</v>
      </c>
      <c r="M30" s="13" t="s">
        <v>1992</v>
      </c>
    </row>
    <row r="31" spans="1:13" ht="30" customHeight="1" x14ac:dyDescent="0.25">
      <c r="A31" s="16" t="s">
        <v>174</v>
      </c>
      <c r="B31" s="16" t="s">
        <v>175</v>
      </c>
      <c r="C31" s="16" t="s">
        <v>160</v>
      </c>
      <c r="D31" s="16" t="s">
        <v>71</v>
      </c>
      <c r="E31" s="16" t="s">
        <v>176</v>
      </c>
      <c r="F31" s="16" t="s">
        <v>1984</v>
      </c>
      <c r="G31" s="16" t="s">
        <v>1985</v>
      </c>
      <c r="H31" s="16" t="s">
        <v>1549</v>
      </c>
      <c r="I31" s="16" t="s">
        <v>1501</v>
      </c>
      <c r="J31" s="16" t="s">
        <v>1973</v>
      </c>
      <c r="K31" s="16" t="s">
        <v>1973</v>
      </c>
      <c r="L31" s="16" t="s">
        <v>21</v>
      </c>
      <c r="M31" s="16" t="s">
        <v>1993</v>
      </c>
    </row>
    <row r="32" spans="1:13" ht="30" customHeight="1" x14ac:dyDescent="0.25">
      <c r="A32" s="13" t="s">
        <v>178</v>
      </c>
      <c r="B32" s="13" t="s">
        <v>179</v>
      </c>
      <c r="C32" s="13" t="s">
        <v>160</v>
      </c>
      <c r="D32" s="13" t="s">
        <v>94</v>
      </c>
      <c r="E32" s="13" t="s">
        <v>180</v>
      </c>
      <c r="F32" s="13" t="s">
        <v>1984</v>
      </c>
      <c r="G32" s="13" t="s">
        <v>1985</v>
      </c>
      <c r="H32" s="13" t="s">
        <v>1553</v>
      </c>
      <c r="I32" s="13" t="s">
        <v>1496</v>
      </c>
      <c r="J32" s="13" t="s">
        <v>1973</v>
      </c>
      <c r="K32" s="13" t="s">
        <v>1973</v>
      </c>
      <c r="L32" s="13" t="s">
        <v>21</v>
      </c>
      <c r="M32" s="13" t="s">
        <v>1994</v>
      </c>
    </row>
    <row r="33" spans="1:13" ht="30" customHeight="1" x14ac:dyDescent="0.25">
      <c r="A33" s="16" t="s">
        <v>182</v>
      </c>
      <c r="B33" s="16" t="s">
        <v>183</v>
      </c>
      <c r="C33" s="16" t="s">
        <v>184</v>
      </c>
      <c r="D33" s="16" t="s">
        <v>71</v>
      </c>
      <c r="E33" s="16" t="s">
        <v>185</v>
      </c>
      <c r="F33" s="16" t="s">
        <v>1984</v>
      </c>
      <c r="G33" s="16" t="s">
        <v>1985</v>
      </c>
      <c r="H33" s="16" t="s">
        <v>1556</v>
      </c>
      <c r="I33" s="16" t="s">
        <v>1496</v>
      </c>
      <c r="J33" s="16" t="s">
        <v>1973</v>
      </c>
      <c r="K33" s="16" t="s">
        <v>1973</v>
      </c>
      <c r="L33" s="16" t="s">
        <v>21</v>
      </c>
      <c r="M33" s="16" t="s">
        <v>1995</v>
      </c>
    </row>
    <row r="34" spans="1:13" ht="30" customHeight="1" x14ac:dyDescent="0.25">
      <c r="A34" s="20" t="s">
        <v>188</v>
      </c>
      <c r="B34" s="20" t="s">
        <v>189</v>
      </c>
      <c r="C34" s="20" t="s">
        <v>184</v>
      </c>
      <c r="D34" s="20" t="s">
        <v>71</v>
      </c>
      <c r="E34" s="20" t="s">
        <v>190</v>
      </c>
      <c r="F34" s="20" t="s">
        <v>1984</v>
      </c>
      <c r="G34" s="20" t="s">
        <v>1985</v>
      </c>
      <c r="H34" s="20" t="s">
        <v>1560</v>
      </c>
      <c r="I34" s="20" t="s">
        <v>1501</v>
      </c>
      <c r="J34" s="20" t="s">
        <v>1973</v>
      </c>
      <c r="K34" s="20" t="s">
        <v>1973</v>
      </c>
      <c r="L34" s="20" t="s">
        <v>21</v>
      </c>
      <c r="M34" s="20" t="s">
        <v>1996</v>
      </c>
    </row>
    <row r="35" spans="1:13" ht="30" customHeight="1" x14ac:dyDescent="0.25">
      <c r="A35" s="20" t="s">
        <v>192</v>
      </c>
      <c r="B35" s="20" t="s">
        <v>193</v>
      </c>
      <c r="C35" s="20" t="s">
        <v>184</v>
      </c>
      <c r="D35" s="20" t="s">
        <v>78</v>
      </c>
      <c r="E35" s="20" t="s">
        <v>194</v>
      </c>
      <c r="F35" s="20" t="s">
        <v>1984</v>
      </c>
      <c r="G35" s="20" t="s">
        <v>1985</v>
      </c>
      <c r="H35" s="20" t="s">
        <v>1564</v>
      </c>
      <c r="I35" s="20" t="s">
        <v>1496</v>
      </c>
      <c r="J35" s="20" t="s">
        <v>1973</v>
      </c>
      <c r="K35" s="20" t="s">
        <v>1973</v>
      </c>
      <c r="L35" s="20" t="s">
        <v>21</v>
      </c>
      <c r="M35" s="20" t="s">
        <v>1997</v>
      </c>
    </row>
    <row r="36" spans="1:13" ht="30" customHeight="1" x14ac:dyDescent="0.25">
      <c r="A36" s="20" t="s">
        <v>195</v>
      </c>
      <c r="B36" s="20" t="s">
        <v>196</v>
      </c>
      <c r="C36" s="20" t="s">
        <v>184</v>
      </c>
      <c r="D36" s="20" t="s">
        <v>71</v>
      </c>
      <c r="E36" s="20" t="s">
        <v>197</v>
      </c>
      <c r="F36" s="20" t="s">
        <v>1984</v>
      </c>
      <c r="G36" s="20" t="s">
        <v>1985</v>
      </c>
      <c r="H36" s="20" t="s">
        <v>1567</v>
      </c>
      <c r="I36" s="20" t="s">
        <v>1501</v>
      </c>
      <c r="J36" s="20" t="s">
        <v>1973</v>
      </c>
      <c r="K36" s="20" t="s">
        <v>1973</v>
      </c>
      <c r="L36" s="20" t="s">
        <v>21</v>
      </c>
      <c r="M36" s="20" t="s">
        <v>1998</v>
      </c>
    </row>
    <row r="37" spans="1:13" ht="30" customHeight="1" x14ac:dyDescent="0.25">
      <c r="A37" s="20" t="s">
        <v>200</v>
      </c>
      <c r="B37" s="20" t="s">
        <v>201</v>
      </c>
      <c r="C37" s="20" t="s">
        <v>184</v>
      </c>
      <c r="D37" s="20" t="s">
        <v>71</v>
      </c>
      <c r="E37" s="20" t="s">
        <v>202</v>
      </c>
      <c r="F37" s="20" t="s">
        <v>1984</v>
      </c>
      <c r="G37" s="20" t="s">
        <v>1985</v>
      </c>
      <c r="H37" s="20" t="s">
        <v>1571</v>
      </c>
      <c r="I37" s="20" t="s">
        <v>1496</v>
      </c>
      <c r="J37" s="20" t="s">
        <v>1973</v>
      </c>
      <c r="K37" s="20" t="s">
        <v>1973</v>
      </c>
      <c r="L37" s="20" t="s">
        <v>21</v>
      </c>
      <c r="M37" s="20" t="s">
        <v>1996</v>
      </c>
    </row>
    <row r="38" spans="1:13" ht="30" customHeight="1" x14ac:dyDescent="0.25">
      <c r="A38" s="20" t="s">
        <v>204</v>
      </c>
      <c r="B38" s="20" t="s">
        <v>205</v>
      </c>
      <c r="C38" s="20" t="s">
        <v>184</v>
      </c>
      <c r="D38" s="20" t="s">
        <v>78</v>
      </c>
      <c r="E38" s="20" t="s">
        <v>206</v>
      </c>
      <c r="F38" s="20" t="s">
        <v>1984</v>
      </c>
      <c r="G38" s="20" t="s">
        <v>1985</v>
      </c>
      <c r="H38" s="20" t="s">
        <v>1575</v>
      </c>
      <c r="I38" s="20" t="s">
        <v>1496</v>
      </c>
      <c r="J38" s="20" t="s">
        <v>1973</v>
      </c>
      <c r="K38" s="20" t="s">
        <v>1973</v>
      </c>
      <c r="L38" s="20" t="s">
        <v>21</v>
      </c>
      <c r="M38" s="20" t="s">
        <v>1999</v>
      </c>
    </row>
    <row r="39" spans="1:13" ht="30" customHeight="1" x14ac:dyDescent="0.25">
      <c r="A39" s="20" t="s">
        <v>208</v>
      </c>
      <c r="B39" s="20" t="s">
        <v>209</v>
      </c>
      <c r="C39" s="20" t="s">
        <v>184</v>
      </c>
      <c r="D39" s="20" t="s">
        <v>94</v>
      </c>
      <c r="E39" s="20" t="s">
        <v>210</v>
      </c>
      <c r="F39" s="20" t="s">
        <v>1984</v>
      </c>
      <c r="G39" s="20" t="s">
        <v>1985</v>
      </c>
      <c r="H39" s="20" t="s">
        <v>1578</v>
      </c>
      <c r="I39" s="20" t="s">
        <v>1496</v>
      </c>
      <c r="J39" s="20" t="s">
        <v>1973</v>
      </c>
      <c r="K39" s="20" t="s">
        <v>1973</v>
      </c>
      <c r="L39" s="20" t="s">
        <v>21</v>
      </c>
      <c r="M39" s="20" t="s">
        <v>2000</v>
      </c>
    </row>
    <row r="40" spans="1:13" ht="30" customHeight="1" x14ac:dyDescent="0.25">
      <c r="A40" s="20" t="s">
        <v>213</v>
      </c>
      <c r="B40" s="20" t="s">
        <v>214</v>
      </c>
      <c r="C40" s="20" t="s">
        <v>215</v>
      </c>
      <c r="D40" s="20" t="s">
        <v>71</v>
      </c>
      <c r="E40" s="20" t="s">
        <v>216</v>
      </c>
      <c r="F40" s="20" t="s">
        <v>1984</v>
      </c>
      <c r="G40" s="20" t="s">
        <v>1985</v>
      </c>
      <c r="H40" s="20" t="s">
        <v>1581</v>
      </c>
      <c r="I40" s="20" t="s">
        <v>1496</v>
      </c>
      <c r="J40" s="20" t="s">
        <v>1973</v>
      </c>
      <c r="K40" s="20" t="s">
        <v>1973</v>
      </c>
      <c r="L40" s="20" t="s">
        <v>21</v>
      </c>
      <c r="M40" s="20" t="s">
        <v>2001</v>
      </c>
    </row>
    <row r="41" spans="1:13" ht="30" customHeight="1" x14ac:dyDescent="0.25">
      <c r="A41" s="20" t="s">
        <v>217</v>
      </c>
      <c r="B41" s="20" t="s">
        <v>218</v>
      </c>
      <c r="C41" s="20" t="s">
        <v>215</v>
      </c>
      <c r="D41" s="20" t="s">
        <v>71</v>
      </c>
      <c r="E41" s="20" t="s">
        <v>219</v>
      </c>
      <c r="F41" s="20" t="s">
        <v>1984</v>
      </c>
      <c r="G41" s="20" t="s">
        <v>1985</v>
      </c>
      <c r="H41" s="20" t="s">
        <v>1586</v>
      </c>
      <c r="I41" s="20" t="s">
        <v>1501</v>
      </c>
      <c r="J41" s="20" t="s">
        <v>1973</v>
      </c>
      <c r="K41" s="20" t="s">
        <v>1973</v>
      </c>
      <c r="L41" s="20" t="s">
        <v>21</v>
      </c>
      <c r="M41" s="20" t="s">
        <v>2002</v>
      </c>
    </row>
    <row r="42" spans="1:13" ht="30" customHeight="1" x14ac:dyDescent="0.25">
      <c r="A42" s="20" t="s">
        <v>221</v>
      </c>
      <c r="B42" s="20" t="s">
        <v>222</v>
      </c>
      <c r="C42" s="20" t="s">
        <v>215</v>
      </c>
      <c r="D42" s="20" t="s">
        <v>78</v>
      </c>
      <c r="E42" s="20" t="s">
        <v>223</v>
      </c>
      <c r="F42" s="20" t="s">
        <v>1984</v>
      </c>
      <c r="G42" s="20" t="s">
        <v>1985</v>
      </c>
      <c r="H42" s="20" t="s">
        <v>1590</v>
      </c>
      <c r="I42" s="20" t="s">
        <v>1496</v>
      </c>
      <c r="J42" s="20" t="s">
        <v>1973</v>
      </c>
      <c r="K42" s="20" t="s">
        <v>1973</v>
      </c>
      <c r="L42" s="20" t="s">
        <v>21</v>
      </c>
      <c r="M42" s="20" t="s">
        <v>2003</v>
      </c>
    </row>
    <row r="43" spans="1:13" ht="30" customHeight="1" x14ac:dyDescent="0.25">
      <c r="A43" s="20" t="s">
        <v>225</v>
      </c>
      <c r="B43" s="20" t="s">
        <v>226</v>
      </c>
      <c r="C43" s="20" t="s">
        <v>215</v>
      </c>
      <c r="D43" s="20" t="s">
        <v>71</v>
      </c>
      <c r="E43" s="20" t="s">
        <v>227</v>
      </c>
      <c r="F43" s="20" t="s">
        <v>1984</v>
      </c>
      <c r="G43" s="20" t="s">
        <v>1985</v>
      </c>
      <c r="H43" s="20" t="s">
        <v>1595</v>
      </c>
      <c r="I43" s="20" t="s">
        <v>1496</v>
      </c>
      <c r="J43" s="20" t="s">
        <v>1973</v>
      </c>
      <c r="K43" s="20" t="s">
        <v>1973</v>
      </c>
      <c r="L43" s="20" t="s">
        <v>21</v>
      </c>
      <c r="M43" s="20" t="s">
        <v>2002</v>
      </c>
    </row>
    <row r="44" spans="1:13" ht="30" customHeight="1" x14ac:dyDescent="0.25">
      <c r="A44" s="20" t="s">
        <v>228</v>
      </c>
      <c r="B44" s="20" t="s">
        <v>229</v>
      </c>
      <c r="C44" s="20" t="s">
        <v>230</v>
      </c>
      <c r="D44" s="20" t="s">
        <v>71</v>
      </c>
      <c r="E44" s="20" t="s">
        <v>231</v>
      </c>
      <c r="F44" s="20" t="s">
        <v>2004</v>
      </c>
      <c r="G44" s="20" t="s">
        <v>2005</v>
      </c>
      <c r="H44" s="20" t="s">
        <v>1598</v>
      </c>
      <c r="I44" s="20" t="s">
        <v>1600</v>
      </c>
      <c r="J44" s="20" t="s">
        <v>1973</v>
      </c>
      <c r="K44" s="20" t="s">
        <v>1973</v>
      </c>
      <c r="L44" s="20" t="s">
        <v>21</v>
      </c>
      <c r="M44" s="20" t="s">
        <v>2006</v>
      </c>
    </row>
    <row r="45" spans="1:13" ht="30" customHeight="1" x14ac:dyDescent="0.25">
      <c r="A45" s="20" t="s">
        <v>232</v>
      </c>
      <c r="B45" s="20" t="s">
        <v>233</v>
      </c>
      <c r="C45" s="20" t="s">
        <v>230</v>
      </c>
      <c r="D45" s="20" t="s">
        <v>71</v>
      </c>
      <c r="E45" s="20" t="s">
        <v>234</v>
      </c>
      <c r="F45" s="20" t="s">
        <v>2004</v>
      </c>
      <c r="G45" s="20" t="s">
        <v>2005</v>
      </c>
      <c r="H45" s="20" t="s">
        <v>1603</v>
      </c>
      <c r="I45" s="20" t="s">
        <v>1496</v>
      </c>
      <c r="J45" s="20" t="s">
        <v>1973</v>
      </c>
      <c r="K45" s="20" t="s">
        <v>1973</v>
      </c>
      <c r="L45" s="20" t="s">
        <v>21</v>
      </c>
      <c r="M45" s="20" t="s">
        <v>2007</v>
      </c>
    </row>
    <row r="46" spans="1:13" ht="30" customHeight="1" x14ac:dyDescent="0.25">
      <c r="A46" s="20" t="s">
        <v>236</v>
      </c>
      <c r="B46" s="20" t="s">
        <v>237</v>
      </c>
      <c r="C46" s="20" t="s">
        <v>230</v>
      </c>
      <c r="D46" s="20" t="s">
        <v>71</v>
      </c>
      <c r="E46" s="20" t="s">
        <v>238</v>
      </c>
      <c r="F46" s="20" t="s">
        <v>2004</v>
      </c>
      <c r="G46" s="20" t="s">
        <v>2005</v>
      </c>
      <c r="H46" s="20" t="s">
        <v>1608</v>
      </c>
      <c r="I46" s="20" t="s">
        <v>1496</v>
      </c>
      <c r="J46" s="20" t="s">
        <v>1973</v>
      </c>
      <c r="K46" s="20" t="s">
        <v>1973</v>
      </c>
      <c r="L46" s="20" t="s">
        <v>21</v>
      </c>
      <c r="M46" s="20" t="s">
        <v>2008</v>
      </c>
    </row>
    <row r="47" spans="1:13" ht="30" customHeight="1" x14ac:dyDescent="0.25">
      <c r="A47" s="20" t="s">
        <v>240</v>
      </c>
      <c r="B47" s="20" t="s">
        <v>241</v>
      </c>
      <c r="C47" s="20" t="s">
        <v>230</v>
      </c>
      <c r="D47" s="20" t="s">
        <v>71</v>
      </c>
      <c r="E47" s="20" t="s">
        <v>242</v>
      </c>
      <c r="F47" s="20" t="s">
        <v>2004</v>
      </c>
      <c r="G47" s="20" t="s">
        <v>2005</v>
      </c>
      <c r="H47" s="20" t="s">
        <v>1612</v>
      </c>
      <c r="I47" s="20" t="s">
        <v>1496</v>
      </c>
      <c r="J47" s="20" t="s">
        <v>1973</v>
      </c>
      <c r="K47" s="20" t="s">
        <v>1973</v>
      </c>
      <c r="L47" s="20" t="s">
        <v>21</v>
      </c>
      <c r="M47" s="20" t="s">
        <v>2008</v>
      </c>
    </row>
    <row r="48" spans="1:13" ht="30" customHeight="1" x14ac:dyDescent="0.25">
      <c r="A48" s="20" t="s">
        <v>243</v>
      </c>
      <c r="B48" s="20" t="s">
        <v>244</v>
      </c>
      <c r="C48" s="20" t="s">
        <v>230</v>
      </c>
      <c r="D48" s="20" t="s">
        <v>71</v>
      </c>
      <c r="E48" s="20" t="s">
        <v>245</v>
      </c>
      <c r="F48" s="20" t="s">
        <v>2004</v>
      </c>
      <c r="G48" s="20" t="s">
        <v>2005</v>
      </c>
      <c r="H48" s="20" t="s">
        <v>1616</v>
      </c>
      <c r="I48" s="20" t="s">
        <v>1496</v>
      </c>
      <c r="J48" s="20" t="s">
        <v>1973</v>
      </c>
      <c r="K48" s="20" t="s">
        <v>1973</v>
      </c>
      <c r="L48" s="20" t="s">
        <v>21</v>
      </c>
      <c r="M48" s="20" t="s">
        <v>2008</v>
      </c>
    </row>
    <row r="49" spans="1:13" ht="30" customHeight="1" x14ac:dyDescent="0.25">
      <c r="A49" s="20" t="s">
        <v>246</v>
      </c>
      <c r="B49" s="20" t="s">
        <v>247</v>
      </c>
      <c r="C49" s="20" t="s">
        <v>230</v>
      </c>
      <c r="D49" s="20" t="s">
        <v>71</v>
      </c>
      <c r="E49" s="20" t="s">
        <v>248</v>
      </c>
      <c r="F49" s="20" t="s">
        <v>2004</v>
      </c>
      <c r="G49" s="20" t="s">
        <v>2005</v>
      </c>
      <c r="H49" s="20" t="s">
        <v>1620</v>
      </c>
      <c r="I49" s="20" t="s">
        <v>1600</v>
      </c>
      <c r="J49" s="20" t="s">
        <v>1973</v>
      </c>
      <c r="K49" s="20" t="s">
        <v>1973</v>
      </c>
      <c r="L49" s="20" t="s">
        <v>21</v>
      </c>
      <c r="M49" s="20" t="s">
        <v>2008</v>
      </c>
    </row>
    <row r="50" spans="1:13" ht="30" customHeight="1" x14ac:dyDescent="0.25">
      <c r="A50" s="20" t="s">
        <v>249</v>
      </c>
      <c r="B50" s="20" t="s">
        <v>250</v>
      </c>
      <c r="C50" s="20" t="s">
        <v>230</v>
      </c>
      <c r="D50" s="20" t="s">
        <v>78</v>
      </c>
      <c r="E50" s="20" t="s">
        <v>251</v>
      </c>
      <c r="F50" s="20" t="s">
        <v>2004</v>
      </c>
      <c r="G50" s="20" t="s">
        <v>2005</v>
      </c>
      <c r="H50" s="20" t="s">
        <v>1624</v>
      </c>
      <c r="I50" s="20" t="s">
        <v>1496</v>
      </c>
      <c r="J50" s="20" t="s">
        <v>1973</v>
      </c>
      <c r="K50" s="20" t="s">
        <v>1973</v>
      </c>
      <c r="L50" s="20" t="s">
        <v>21</v>
      </c>
      <c r="M50" s="20" t="s">
        <v>2009</v>
      </c>
    </row>
    <row r="51" spans="1:13" ht="30" customHeight="1" x14ac:dyDescent="0.25">
      <c r="A51" s="20" t="s">
        <v>253</v>
      </c>
      <c r="B51" s="20" t="s">
        <v>254</v>
      </c>
      <c r="C51" s="20" t="s">
        <v>230</v>
      </c>
      <c r="D51" s="20" t="s">
        <v>78</v>
      </c>
      <c r="E51" s="20" t="s">
        <v>255</v>
      </c>
      <c r="F51" s="20" t="s">
        <v>2004</v>
      </c>
      <c r="G51" s="20" t="s">
        <v>2005</v>
      </c>
      <c r="H51" s="20" t="s">
        <v>1627</v>
      </c>
      <c r="I51" s="20" t="s">
        <v>1496</v>
      </c>
      <c r="J51" s="20" t="s">
        <v>1973</v>
      </c>
      <c r="K51" s="20" t="s">
        <v>1973</v>
      </c>
      <c r="L51" s="20" t="s">
        <v>21</v>
      </c>
      <c r="M51" s="20" t="s">
        <v>2008</v>
      </c>
    </row>
    <row r="52" spans="1:13" ht="30" customHeight="1" x14ac:dyDescent="0.25">
      <c r="A52" s="20" t="s">
        <v>256</v>
      </c>
      <c r="B52" s="20" t="s">
        <v>257</v>
      </c>
      <c r="C52" s="20" t="s">
        <v>258</v>
      </c>
      <c r="D52" s="20" t="s">
        <v>71</v>
      </c>
      <c r="E52" s="20" t="s">
        <v>259</v>
      </c>
      <c r="F52" s="20" t="s">
        <v>2010</v>
      </c>
      <c r="G52" s="20" t="s">
        <v>2011</v>
      </c>
      <c r="H52" s="20" t="s">
        <v>1630</v>
      </c>
      <c r="I52" s="20" t="s">
        <v>1632</v>
      </c>
      <c r="J52" s="20" t="s">
        <v>1973</v>
      </c>
      <c r="K52" s="20" t="s">
        <v>1973</v>
      </c>
      <c r="L52" s="20" t="s">
        <v>21</v>
      </c>
      <c r="M52" s="20" t="s">
        <v>2012</v>
      </c>
    </row>
    <row r="53" spans="1:13" ht="30" customHeight="1" x14ac:dyDescent="0.25">
      <c r="A53" s="20" t="s">
        <v>260</v>
      </c>
      <c r="B53" s="20" t="s">
        <v>261</v>
      </c>
      <c r="C53" s="20" t="s">
        <v>258</v>
      </c>
      <c r="D53" s="20" t="s">
        <v>71</v>
      </c>
      <c r="E53" s="20" t="s">
        <v>262</v>
      </c>
      <c r="F53" s="20" t="s">
        <v>2010</v>
      </c>
      <c r="G53" s="20" t="s">
        <v>2011</v>
      </c>
      <c r="H53" s="20" t="s">
        <v>1636</v>
      </c>
      <c r="I53" s="20" t="s">
        <v>1632</v>
      </c>
      <c r="J53" s="20" t="s">
        <v>1973</v>
      </c>
      <c r="K53" s="20" t="s">
        <v>1973</v>
      </c>
      <c r="L53" s="20" t="s">
        <v>21</v>
      </c>
      <c r="M53" s="20" t="s">
        <v>2013</v>
      </c>
    </row>
    <row r="54" spans="1:13" ht="30" customHeight="1" x14ac:dyDescent="0.25">
      <c r="A54" s="20" t="s">
        <v>264</v>
      </c>
      <c r="B54" s="20" t="s">
        <v>265</v>
      </c>
      <c r="C54" s="20" t="s">
        <v>258</v>
      </c>
      <c r="D54" s="20" t="s">
        <v>71</v>
      </c>
      <c r="E54" s="20" t="s">
        <v>266</v>
      </c>
      <c r="F54" s="20" t="s">
        <v>2010</v>
      </c>
      <c r="G54" s="20" t="s">
        <v>2011</v>
      </c>
      <c r="H54" s="20" t="s">
        <v>1640</v>
      </c>
      <c r="I54" s="20" t="s">
        <v>1632</v>
      </c>
      <c r="J54" s="20" t="s">
        <v>1973</v>
      </c>
      <c r="K54" s="20" t="s">
        <v>1973</v>
      </c>
      <c r="L54" s="20" t="s">
        <v>21</v>
      </c>
      <c r="M54" s="20" t="s">
        <v>2012</v>
      </c>
    </row>
    <row r="55" spans="1:13" ht="30" customHeight="1" x14ac:dyDescent="0.25">
      <c r="A55" s="20" t="s">
        <v>267</v>
      </c>
      <c r="B55" s="20" t="s">
        <v>268</v>
      </c>
      <c r="C55" s="20" t="s">
        <v>258</v>
      </c>
      <c r="D55" s="20" t="s">
        <v>78</v>
      </c>
      <c r="E55" s="20" t="s">
        <v>269</v>
      </c>
      <c r="F55" s="20" t="s">
        <v>2010</v>
      </c>
      <c r="G55" s="20" t="s">
        <v>2011</v>
      </c>
      <c r="H55" s="20" t="s">
        <v>1644</v>
      </c>
      <c r="I55" s="20" t="s">
        <v>1632</v>
      </c>
      <c r="J55" s="20" t="s">
        <v>1973</v>
      </c>
      <c r="K55" s="20" t="s">
        <v>1973</v>
      </c>
      <c r="L55" s="20" t="s">
        <v>21</v>
      </c>
      <c r="M55" s="20" t="s">
        <v>2014</v>
      </c>
    </row>
    <row r="56" spans="1:13" ht="30" customHeight="1" x14ac:dyDescent="0.25">
      <c r="A56" s="20" t="s">
        <v>272</v>
      </c>
      <c r="B56" s="20" t="s">
        <v>273</v>
      </c>
      <c r="C56" s="20" t="s">
        <v>258</v>
      </c>
      <c r="D56" s="20" t="s">
        <v>78</v>
      </c>
      <c r="E56" s="20" t="s">
        <v>274</v>
      </c>
      <c r="F56" s="20" t="s">
        <v>2010</v>
      </c>
      <c r="G56" s="20" t="s">
        <v>2011</v>
      </c>
      <c r="H56" s="20" t="s">
        <v>1649</v>
      </c>
      <c r="I56" s="20" t="s">
        <v>1632</v>
      </c>
      <c r="J56" s="20" t="s">
        <v>1973</v>
      </c>
      <c r="K56" s="20" t="s">
        <v>1973</v>
      </c>
      <c r="L56" s="20" t="s">
        <v>21</v>
      </c>
      <c r="M56" s="20" t="s">
        <v>2015</v>
      </c>
    </row>
    <row r="57" spans="1:13" ht="30" customHeight="1" x14ac:dyDescent="0.25">
      <c r="A57" s="20" t="s">
        <v>276</v>
      </c>
      <c r="B57" s="20" t="s">
        <v>277</v>
      </c>
      <c r="C57" s="20" t="s">
        <v>258</v>
      </c>
      <c r="D57" s="20" t="s">
        <v>71</v>
      </c>
      <c r="E57" s="20" t="s">
        <v>278</v>
      </c>
      <c r="F57" s="20" t="s">
        <v>2010</v>
      </c>
      <c r="G57" s="20" t="s">
        <v>2011</v>
      </c>
      <c r="H57" s="20" t="s">
        <v>1652</v>
      </c>
      <c r="I57" s="20" t="s">
        <v>1632</v>
      </c>
      <c r="J57" s="20" t="s">
        <v>1973</v>
      </c>
      <c r="K57" s="20" t="s">
        <v>1973</v>
      </c>
      <c r="L57" s="20" t="s">
        <v>21</v>
      </c>
      <c r="M57" s="20" t="s">
        <v>2016</v>
      </c>
    </row>
    <row r="58" spans="1:13" ht="30" customHeight="1" x14ac:dyDescent="0.25">
      <c r="A58" s="20" t="s">
        <v>280</v>
      </c>
      <c r="B58" s="20" t="s">
        <v>281</v>
      </c>
      <c r="C58" s="20" t="s">
        <v>258</v>
      </c>
      <c r="D58" s="20" t="s">
        <v>78</v>
      </c>
      <c r="E58" s="20" t="s">
        <v>282</v>
      </c>
      <c r="F58" s="20" t="s">
        <v>2010</v>
      </c>
      <c r="G58" s="20" t="s">
        <v>2011</v>
      </c>
      <c r="H58" s="20" t="s">
        <v>1655</v>
      </c>
      <c r="I58" s="20" t="s">
        <v>1632</v>
      </c>
      <c r="J58" s="20" t="s">
        <v>1973</v>
      </c>
      <c r="K58" s="20" t="s">
        <v>1973</v>
      </c>
      <c r="L58" s="20" t="s">
        <v>21</v>
      </c>
      <c r="M58" s="20" t="s">
        <v>2017</v>
      </c>
    </row>
    <row r="59" spans="1:13" ht="30" customHeight="1" x14ac:dyDescent="0.25">
      <c r="A59" s="20" t="s">
        <v>284</v>
      </c>
      <c r="B59" s="20" t="s">
        <v>285</v>
      </c>
      <c r="C59" s="20" t="s">
        <v>286</v>
      </c>
      <c r="D59" s="20" t="s">
        <v>71</v>
      </c>
      <c r="E59" s="20" t="s">
        <v>287</v>
      </c>
      <c r="F59" s="20" t="s">
        <v>2018</v>
      </c>
      <c r="G59" s="20" t="s">
        <v>2019</v>
      </c>
      <c r="H59" s="20" t="s">
        <v>1658</v>
      </c>
      <c r="I59" s="20" t="s">
        <v>1496</v>
      </c>
      <c r="J59" s="20" t="s">
        <v>1973</v>
      </c>
      <c r="K59" s="20" t="s">
        <v>1973</v>
      </c>
      <c r="L59" s="20" t="s">
        <v>21</v>
      </c>
      <c r="M59" s="20" t="s">
        <v>2020</v>
      </c>
    </row>
    <row r="60" spans="1:13" ht="30" customHeight="1" x14ac:dyDescent="0.25">
      <c r="A60" s="20" t="s">
        <v>288</v>
      </c>
      <c r="B60" s="20" t="s">
        <v>289</v>
      </c>
      <c r="C60" s="20" t="s">
        <v>286</v>
      </c>
      <c r="D60" s="20" t="s">
        <v>78</v>
      </c>
      <c r="E60" s="20" t="s">
        <v>290</v>
      </c>
      <c r="F60" s="20" t="s">
        <v>2018</v>
      </c>
      <c r="G60" s="20" t="s">
        <v>2019</v>
      </c>
      <c r="H60" s="20" t="s">
        <v>1662</v>
      </c>
      <c r="I60" s="20" t="s">
        <v>1496</v>
      </c>
      <c r="J60" s="20" t="s">
        <v>1973</v>
      </c>
      <c r="K60" s="20" t="s">
        <v>1973</v>
      </c>
      <c r="L60" s="20" t="s">
        <v>21</v>
      </c>
      <c r="M60" s="20" t="s">
        <v>2021</v>
      </c>
    </row>
    <row r="61" spans="1:13" ht="30" customHeight="1" x14ac:dyDescent="0.25">
      <c r="A61" s="20" t="s">
        <v>292</v>
      </c>
      <c r="B61" s="20" t="s">
        <v>293</v>
      </c>
      <c r="C61" s="20" t="s">
        <v>286</v>
      </c>
      <c r="D61" s="20" t="s">
        <v>71</v>
      </c>
      <c r="E61" s="20" t="s">
        <v>294</v>
      </c>
      <c r="F61" s="20" t="s">
        <v>2018</v>
      </c>
      <c r="G61" s="20" t="s">
        <v>2019</v>
      </c>
      <c r="H61" s="20" t="s">
        <v>1667</v>
      </c>
      <c r="I61" s="20" t="s">
        <v>1496</v>
      </c>
      <c r="J61" s="20" t="s">
        <v>1973</v>
      </c>
      <c r="K61" s="20" t="s">
        <v>1973</v>
      </c>
      <c r="L61" s="20" t="s">
        <v>21</v>
      </c>
      <c r="M61" s="20" t="s">
        <v>2022</v>
      </c>
    </row>
    <row r="62" spans="1:13" ht="30" customHeight="1" x14ac:dyDescent="0.25">
      <c r="A62" s="20" t="s">
        <v>296</v>
      </c>
      <c r="B62" s="20" t="s">
        <v>297</v>
      </c>
      <c r="C62" s="20" t="s">
        <v>286</v>
      </c>
      <c r="D62" s="20" t="s">
        <v>71</v>
      </c>
      <c r="E62" s="20" t="s">
        <v>298</v>
      </c>
      <c r="F62" s="20" t="s">
        <v>2018</v>
      </c>
      <c r="G62" s="20" t="s">
        <v>2019</v>
      </c>
      <c r="H62" s="20" t="s">
        <v>1671</v>
      </c>
      <c r="I62" s="20" t="s">
        <v>1496</v>
      </c>
      <c r="J62" s="20" t="s">
        <v>1973</v>
      </c>
      <c r="K62" s="20" t="s">
        <v>1973</v>
      </c>
      <c r="L62" s="20" t="s">
        <v>21</v>
      </c>
      <c r="M62" s="20" t="s">
        <v>2023</v>
      </c>
    </row>
    <row r="63" spans="1:13" ht="30" customHeight="1" x14ac:dyDescent="0.25">
      <c r="A63" s="20" t="s">
        <v>300</v>
      </c>
      <c r="B63" s="20" t="s">
        <v>301</v>
      </c>
      <c r="C63" s="20" t="s">
        <v>286</v>
      </c>
      <c r="D63" s="20" t="s">
        <v>78</v>
      </c>
      <c r="E63" s="20" t="s">
        <v>302</v>
      </c>
      <c r="F63" s="20" t="s">
        <v>2018</v>
      </c>
      <c r="G63" s="20" t="s">
        <v>2019</v>
      </c>
      <c r="H63" s="20" t="s">
        <v>1675</v>
      </c>
      <c r="I63" s="20" t="s">
        <v>1600</v>
      </c>
      <c r="J63" s="20" t="s">
        <v>1973</v>
      </c>
      <c r="K63" s="20" t="s">
        <v>1973</v>
      </c>
      <c r="L63" s="20" t="s">
        <v>21</v>
      </c>
      <c r="M63" s="20" t="s">
        <v>2024</v>
      </c>
    </row>
    <row r="64" spans="1:13" ht="30" customHeight="1" x14ac:dyDescent="0.25">
      <c r="A64" s="20" t="s">
        <v>304</v>
      </c>
      <c r="B64" s="20" t="s">
        <v>305</v>
      </c>
      <c r="C64" s="20" t="s">
        <v>286</v>
      </c>
      <c r="D64" s="20" t="s">
        <v>71</v>
      </c>
      <c r="E64" s="20" t="s">
        <v>306</v>
      </c>
      <c r="F64" s="20" t="s">
        <v>2018</v>
      </c>
      <c r="G64" s="20" t="s">
        <v>2019</v>
      </c>
      <c r="H64" s="20" t="s">
        <v>1678</v>
      </c>
      <c r="I64" s="20" t="s">
        <v>1496</v>
      </c>
      <c r="J64" s="20" t="s">
        <v>1973</v>
      </c>
      <c r="K64" s="20" t="s">
        <v>1973</v>
      </c>
      <c r="L64" s="20" t="s">
        <v>21</v>
      </c>
      <c r="M64" s="20" t="s">
        <v>2025</v>
      </c>
    </row>
    <row r="65" spans="1:13" ht="30" customHeight="1" x14ac:dyDescent="0.25">
      <c r="A65" s="20" t="s">
        <v>308</v>
      </c>
      <c r="B65" s="20" t="s">
        <v>309</v>
      </c>
      <c r="C65" s="20" t="s">
        <v>286</v>
      </c>
      <c r="D65" s="20" t="s">
        <v>78</v>
      </c>
      <c r="E65" s="20" t="s">
        <v>310</v>
      </c>
      <c r="F65" s="20" t="s">
        <v>2018</v>
      </c>
      <c r="G65" s="20" t="s">
        <v>2019</v>
      </c>
      <c r="H65" s="20" t="s">
        <v>1681</v>
      </c>
      <c r="I65" s="20" t="s">
        <v>1600</v>
      </c>
      <c r="J65" s="20" t="s">
        <v>1973</v>
      </c>
      <c r="K65" s="20" t="s">
        <v>1973</v>
      </c>
      <c r="L65" s="20" t="s">
        <v>21</v>
      </c>
      <c r="M65" s="20" t="s">
        <v>2026</v>
      </c>
    </row>
    <row r="66" spans="1:13" ht="30" customHeight="1" x14ac:dyDescent="0.25">
      <c r="A66" s="20" t="s">
        <v>312</v>
      </c>
      <c r="B66" s="20" t="s">
        <v>313</v>
      </c>
      <c r="C66" s="20" t="s">
        <v>314</v>
      </c>
      <c r="D66" s="20" t="s">
        <v>71</v>
      </c>
      <c r="E66" s="20" t="s">
        <v>315</v>
      </c>
      <c r="F66" s="20" t="s">
        <v>2018</v>
      </c>
      <c r="G66" s="20" t="s">
        <v>2019</v>
      </c>
      <c r="H66" s="20" t="s">
        <v>1684</v>
      </c>
      <c r="I66" s="20" t="s">
        <v>1600</v>
      </c>
      <c r="J66" s="20" t="s">
        <v>1973</v>
      </c>
      <c r="K66" s="20" t="s">
        <v>1973</v>
      </c>
      <c r="L66" s="20" t="s">
        <v>21</v>
      </c>
      <c r="M66" s="20" t="s">
        <v>2027</v>
      </c>
    </row>
    <row r="67" spans="1:13" ht="30" customHeight="1" x14ac:dyDescent="0.25">
      <c r="A67" s="20" t="s">
        <v>316</v>
      </c>
      <c r="B67" s="20" t="s">
        <v>317</v>
      </c>
      <c r="C67" s="20" t="s">
        <v>314</v>
      </c>
      <c r="D67" s="20" t="s">
        <v>78</v>
      </c>
      <c r="E67" s="20" t="s">
        <v>318</v>
      </c>
      <c r="F67" s="20" t="s">
        <v>2018</v>
      </c>
      <c r="G67" s="20" t="s">
        <v>2019</v>
      </c>
      <c r="H67" s="20" t="s">
        <v>1689</v>
      </c>
      <c r="I67" s="20" t="s">
        <v>1600</v>
      </c>
      <c r="J67" s="20" t="s">
        <v>1973</v>
      </c>
      <c r="K67" s="20" t="s">
        <v>1973</v>
      </c>
      <c r="L67" s="20" t="s">
        <v>21</v>
      </c>
      <c r="M67" s="20" t="s">
        <v>2028</v>
      </c>
    </row>
    <row r="68" spans="1:13" ht="30" customHeight="1" x14ac:dyDescent="0.25">
      <c r="A68" s="20" t="s">
        <v>320</v>
      </c>
      <c r="B68" s="20" t="s">
        <v>321</v>
      </c>
      <c r="C68" s="20" t="s">
        <v>314</v>
      </c>
      <c r="D68" s="20" t="s">
        <v>78</v>
      </c>
      <c r="E68" s="20" t="s">
        <v>322</v>
      </c>
      <c r="F68" s="20" t="s">
        <v>2018</v>
      </c>
      <c r="G68" s="20" t="s">
        <v>2019</v>
      </c>
      <c r="H68" s="20" t="s">
        <v>1694</v>
      </c>
      <c r="I68" s="20" t="s">
        <v>1430</v>
      </c>
      <c r="J68" s="20" t="s">
        <v>1973</v>
      </c>
      <c r="K68" s="20" t="s">
        <v>1973</v>
      </c>
      <c r="L68" s="20" t="s">
        <v>21</v>
      </c>
      <c r="M68" s="20" t="s">
        <v>2028</v>
      </c>
    </row>
    <row r="69" spans="1:13" ht="30" customHeight="1" x14ac:dyDescent="0.25">
      <c r="A69" s="20" t="s">
        <v>323</v>
      </c>
      <c r="B69" s="20" t="s">
        <v>324</v>
      </c>
      <c r="C69" s="20" t="s">
        <v>314</v>
      </c>
      <c r="D69" s="20" t="s">
        <v>71</v>
      </c>
      <c r="E69" s="20" t="s">
        <v>325</v>
      </c>
      <c r="F69" s="20" t="s">
        <v>2018</v>
      </c>
      <c r="G69" s="20" t="s">
        <v>2019</v>
      </c>
      <c r="H69" s="20" t="s">
        <v>1698</v>
      </c>
      <c r="I69" s="20" t="s">
        <v>1496</v>
      </c>
      <c r="J69" s="20" t="s">
        <v>1973</v>
      </c>
      <c r="K69" s="20" t="s">
        <v>1973</v>
      </c>
      <c r="L69" s="20" t="s">
        <v>21</v>
      </c>
      <c r="M69" s="20" t="s">
        <v>2028</v>
      </c>
    </row>
    <row r="70" spans="1:13" ht="30" customHeight="1" x14ac:dyDescent="0.25">
      <c r="A70" s="20" t="s">
        <v>327</v>
      </c>
      <c r="B70" s="20" t="s">
        <v>328</v>
      </c>
      <c r="C70" s="20" t="s">
        <v>314</v>
      </c>
      <c r="D70" s="20" t="s">
        <v>71</v>
      </c>
      <c r="E70" s="20" t="s">
        <v>329</v>
      </c>
      <c r="F70" s="20" t="s">
        <v>2018</v>
      </c>
      <c r="G70" s="20" t="s">
        <v>2019</v>
      </c>
      <c r="H70" s="20" t="s">
        <v>1703</v>
      </c>
      <c r="I70" s="20" t="s">
        <v>1496</v>
      </c>
      <c r="J70" s="20" t="s">
        <v>1973</v>
      </c>
      <c r="K70" s="20" t="s">
        <v>1973</v>
      </c>
      <c r="L70" s="20" t="s">
        <v>21</v>
      </c>
      <c r="M70" s="20" t="s">
        <v>2029</v>
      </c>
    </row>
    <row r="71" spans="1:13" ht="30" customHeight="1" x14ac:dyDescent="0.25">
      <c r="A71" s="20" t="s">
        <v>332</v>
      </c>
      <c r="B71" s="20" t="s">
        <v>333</v>
      </c>
      <c r="C71" s="20" t="s">
        <v>314</v>
      </c>
      <c r="D71" s="20" t="s">
        <v>78</v>
      </c>
      <c r="E71" s="20" t="s">
        <v>334</v>
      </c>
      <c r="F71" s="20" t="s">
        <v>2018</v>
      </c>
      <c r="G71" s="20" t="s">
        <v>2019</v>
      </c>
      <c r="H71" s="20" t="s">
        <v>1707</v>
      </c>
      <c r="I71" s="20" t="s">
        <v>1430</v>
      </c>
      <c r="J71" s="20" t="s">
        <v>1973</v>
      </c>
      <c r="K71" s="20" t="s">
        <v>1973</v>
      </c>
      <c r="L71" s="20" t="s">
        <v>21</v>
      </c>
      <c r="M71" s="20" t="s">
        <v>2030</v>
      </c>
    </row>
    <row r="72" spans="1:13" ht="30" customHeight="1" x14ac:dyDescent="0.25">
      <c r="A72" s="20" t="s">
        <v>336</v>
      </c>
      <c r="B72" s="20" t="s">
        <v>337</v>
      </c>
      <c r="C72" s="20" t="s">
        <v>314</v>
      </c>
      <c r="D72" s="20" t="s">
        <v>78</v>
      </c>
      <c r="E72" s="20" t="s">
        <v>338</v>
      </c>
      <c r="F72" s="20" t="s">
        <v>2018</v>
      </c>
      <c r="G72" s="20" t="s">
        <v>2019</v>
      </c>
      <c r="H72" s="20" t="s">
        <v>1711</v>
      </c>
      <c r="I72" s="20" t="s">
        <v>1496</v>
      </c>
      <c r="J72" s="20" t="s">
        <v>1973</v>
      </c>
      <c r="K72" s="20" t="s">
        <v>1973</v>
      </c>
      <c r="L72" s="20" t="s">
        <v>21</v>
      </c>
      <c r="M72" s="20" t="s">
        <v>2029</v>
      </c>
    </row>
    <row r="73" spans="1:13" ht="30" customHeight="1" x14ac:dyDescent="0.25">
      <c r="A73" s="20" t="s">
        <v>339</v>
      </c>
      <c r="B73" s="20" t="s">
        <v>340</v>
      </c>
      <c r="C73" s="20" t="s">
        <v>314</v>
      </c>
      <c r="D73" s="20" t="s">
        <v>94</v>
      </c>
      <c r="E73" s="20" t="s">
        <v>341</v>
      </c>
      <c r="F73" s="20" t="s">
        <v>2018</v>
      </c>
      <c r="G73" s="20" t="s">
        <v>2019</v>
      </c>
      <c r="H73" s="20" t="s">
        <v>1715</v>
      </c>
      <c r="I73" s="20" t="s">
        <v>1496</v>
      </c>
      <c r="J73" s="20" t="s">
        <v>1973</v>
      </c>
      <c r="K73" s="20" t="s">
        <v>1973</v>
      </c>
      <c r="L73" s="20" t="s">
        <v>21</v>
      </c>
      <c r="M73" s="20" t="s">
        <v>2031</v>
      </c>
    </row>
    <row r="74" spans="1:13" ht="30" customHeight="1" x14ac:dyDescent="0.25">
      <c r="A74" s="20" t="s">
        <v>343</v>
      </c>
      <c r="B74" s="20" t="s">
        <v>344</v>
      </c>
      <c r="C74" s="20" t="s">
        <v>345</v>
      </c>
      <c r="D74" s="20" t="s">
        <v>71</v>
      </c>
      <c r="E74" s="20" t="s">
        <v>346</v>
      </c>
      <c r="F74" s="20" t="s">
        <v>1978</v>
      </c>
      <c r="G74" s="20" t="s">
        <v>1979</v>
      </c>
      <c r="H74" s="20" t="s">
        <v>1718</v>
      </c>
      <c r="I74" s="20" t="s">
        <v>1473</v>
      </c>
      <c r="J74" s="20" t="s">
        <v>1973</v>
      </c>
      <c r="K74" s="20" t="s">
        <v>1973</v>
      </c>
      <c r="L74" s="20" t="s">
        <v>21</v>
      </c>
      <c r="M74" s="20" t="s">
        <v>2032</v>
      </c>
    </row>
    <row r="75" spans="1:13" ht="30" customHeight="1" x14ac:dyDescent="0.25">
      <c r="A75" s="20" t="s">
        <v>347</v>
      </c>
      <c r="B75" s="20" t="s">
        <v>348</v>
      </c>
      <c r="C75" s="20" t="s">
        <v>345</v>
      </c>
      <c r="D75" s="20" t="s">
        <v>78</v>
      </c>
      <c r="E75" s="20" t="s">
        <v>349</v>
      </c>
      <c r="F75" s="20" t="s">
        <v>1978</v>
      </c>
      <c r="G75" s="20" t="s">
        <v>1979</v>
      </c>
      <c r="H75" s="20" t="s">
        <v>1723</v>
      </c>
      <c r="I75" s="20" t="s">
        <v>1473</v>
      </c>
      <c r="J75" s="20" t="s">
        <v>1973</v>
      </c>
      <c r="K75" s="20" t="s">
        <v>1973</v>
      </c>
      <c r="L75" s="20" t="s">
        <v>21</v>
      </c>
      <c r="M75" s="20" t="s">
        <v>2033</v>
      </c>
    </row>
    <row r="76" spans="1:13" ht="30" customHeight="1" x14ac:dyDescent="0.25">
      <c r="A76" s="20" t="s">
        <v>352</v>
      </c>
      <c r="B76" s="20" t="s">
        <v>353</v>
      </c>
      <c r="C76" s="20" t="s">
        <v>345</v>
      </c>
      <c r="D76" s="20" t="s">
        <v>71</v>
      </c>
      <c r="E76" s="20" t="s">
        <v>354</v>
      </c>
      <c r="F76" s="20" t="s">
        <v>1978</v>
      </c>
      <c r="G76" s="20" t="s">
        <v>1979</v>
      </c>
      <c r="H76" s="20" t="s">
        <v>1727</v>
      </c>
      <c r="I76" s="20" t="s">
        <v>1430</v>
      </c>
      <c r="J76" s="20" t="s">
        <v>1973</v>
      </c>
      <c r="K76" s="20" t="s">
        <v>1973</v>
      </c>
      <c r="L76" s="20" t="s">
        <v>21</v>
      </c>
      <c r="M76" s="20" t="s">
        <v>2033</v>
      </c>
    </row>
    <row r="77" spans="1:13" ht="30" customHeight="1" x14ac:dyDescent="0.25">
      <c r="A77" s="20" t="s">
        <v>355</v>
      </c>
      <c r="B77" s="20" t="s">
        <v>356</v>
      </c>
      <c r="C77" s="20" t="s">
        <v>345</v>
      </c>
      <c r="D77" s="20" t="s">
        <v>94</v>
      </c>
      <c r="E77" s="20" t="s">
        <v>357</v>
      </c>
      <c r="F77" s="20" t="s">
        <v>1978</v>
      </c>
      <c r="G77" s="20" t="s">
        <v>1979</v>
      </c>
      <c r="H77" s="20" t="s">
        <v>1731</v>
      </c>
      <c r="I77" s="20" t="s">
        <v>1473</v>
      </c>
      <c r="J77" s="20" t="s">
        <v>1973</v>
      </c>
      <c r="K77" s="20" t="s">
        <v>1973</v>
      </c>
      <c r="L77" s="20" t="s">
        <v>21</v>
      </c>
      <c r="M77" s="20" t="s">
        <v>2034</v>
      </c>
    </row>
    <row r="78" spans="1:13" ht="30" customHeight="1" x14ac:dyDescent="0.25">
      <c r="A78" s="20" t="s">
        <v>358</v>
      </c>
      <c r="B78" s="20" t="s">
        <v>359</v>
      </c>
      <c r="C78" s="20" t="s">
        <v>345</v>
      </c>
      <c r="D78" s="20" t="s">
        <v>71</v>
      </c>
      <c r="E78" s="20" t="s">
        <v>360</v>
      </c>
      <c r="F78" s="20" t="s">
        <v>1978</v>
      </c>
      <c r="G78" s="20" t="s">
        <v>1979</v>
      </c>
      <c r="H78" s="20" t="s">
        <v>1734</v>
      </c>
      <c r="I78" s="20" t="s">
        <v>1473</v>
      </c>
      <c r="J78" s="20" t="s">
        <v>1973</v>
      </c>
      <c r="K78" s="20" t="s">
        <v>1973</v>
      </c>
      <c r="L78" s="20" t="s">
        <v>21</v>
      </c>
      <c r="M78" s="20" t="s">
        <v>2035</v>
      </c>
    </row>
    <row r="79" spans="1:13" ht="30" customHeight="1" x14ac:dyDescent="0.25">
      <c r="A79" s="20" t="s">
        <v>362</v>
      </c>
      <c r="B79" s="20" t="s">
        <v>363</v>
      </c>
      <c r="C79" s="20" t="s">
        <v>345</v>
      </c>
      <c r="D79" s="20" t="s">
        <v>78</v>
      </c>
      <c r="E79" s="20" t="s">
        <v>364</v>
      </c>
      <c r="F79" s="20" t="s">
        <v>1978</v>
      </c>
      <c r="G79" s="20" t="s">
        <v>1979</v>
      </c>
      <c r="H79" s="20" t="s">
        <v>1738</v>
      </c>
      <c r="I79" s="20" t="s">
        <v>1473</v>
      </c>
      <c r="J79" s="20" t="s">
        <v>1973</v>
      </c>
      <c r="K79" s="20" t="s">
        <v>1973</v>
      </c>
      <c r="L79" s="20" t="s">
        <v>21</v>
      </c>
      <c r="M79" s="20" t="s">
        <v>2036</v>
      </c>
    </row>
    <row r="80" spans="1:13" ht="30" customHeight="1" x14ac:dyDescent="0.25">
      <c r="A80" s="20" t="s">
        <v>366</v>
      </c>
      <c r="B80" s="20" t="s">
        <v>367</v>
      </c>
      <c r="C80" s="20" t="s">
        <v>345</v>
      </c>
      <c r="D80" s="20" t="s">
        <v>71</v>
      </c>
      <c r="E80" s="20" t="s">
        <v>368</v>
      </c>
      <c r="F80" s="20" t="s">
        <v>1978</v>
      </c>
      <c r="G80" s="20" t="s">
        <v>1979</v>
      </c>
      <c r="H80" s="20" t="s">
        <v>1742</v>
      </c>
      <c r="I80" s="20" t="s">
        <v>1473</v>
      </c>
      <c r="J80" s="20" t="s">
        <v>1973</v>
      </c>
      <c r="K80" s="20" t="s">
        <v>1973</v>
      </c>
      <c r="L80" s="20" t="s">
        <v>21</v>
      </c>
      <c r="M80" s="20" t="s">
        <v>2036</v>
      </c>
    </row>
    <row r="81" spans="1:13" ht="30" customHeight="1" x14ac:dyDescent="0.25">
      <c r="A81" s="20" t="s">
        <v>369</v>
      </c>
      <c r="B81" s="20" t="s">
        <v>370</v>
      </c>
      <c r="C81" s="20" t="s">
        <v>345</v>
      </c>
      <c r="D81" s="20" t="s">
        <v>94</v>
      </c>
      <c r="E81" s="20" t="s">
        <v>371</v>
      </c>
      <c r="F81" s="20" t="s">
        <v>1978</v>
      </c>
      <c r="G81" s="20" t="s">
        <v>1979</v>
      </c>
      <c r="H81" s="20" t="s">
        <v>1745</v>
      </c>
      <c r="I81" s="20" t="s">
        <v>1473</v>
      </c>
      <c r="J81" s="20" t="s">
        <v>1973</v>
      </c>
      <c r="K81" s="20" t="s">
        <v>1973</v>
      </c>
      <c r="L81" s="20" t="s">
        <v>21</v>
      </c>
      <c r="M81" s="20" t="s">
        <v>2037</v>
      </c>
    </row>
    <row r="82" spans="1:13" ht="30" customHeight="1" x14ac:dyDescent="0.25">
      <c r="A82" s="20" t="s">
        <v>373</v>
      </c>
      <c r="B82" s="20" t="s">
        <v>374</v>
      </c>
      <c r="C82" s="20" t="s">
        <v>375</v>
      </c>
      <c r="D82" s="20" t="s">
        <v>78</v>
      </c>
      <c r="E82" s="20" t="s">
        <v>376</v>
      </c>
      <c r="F82" s="20" t="s">
        <v>2038</v>
      </c>
      <c r="G82" s="20" t="s">
        <v>2039</v>
      </c>
      <c r="H82" s="20" t="s">
        <v>1748</v>
      </c>
      <c r="I82" s="20" t="s">
        <v>1750</v>
      </c>
      <c r="J82" s="20" t="s">
        <v>1973</v>
      </c>
      <c r="K82" s="20" t="s">
        <v>1973</v>
      </c>
      <c r="L82" s="20" t="s">
        <v>21</v>
      </c>
      <c r="M82" s="20" t="s">
        <v>2040</v>
      </c>
    </row>
    <row r="83" spans="1:13" ht="30" customHeight="1" x14ac:dyDescent="0.25">
      <c r="A83" s="20" t="s">
        <v>378</v>
      </c>
      <c r="B83" s="20" t="s">
        <v>379</v>
      </c>
      <c r="C83" s="20" t="s">
        <v>375</v>
      </c>
      <c r="D83" s="20" t="s">
        <v>78</v>
      </c>
      <c r="E83" s="20" t="s">
        <v>380</v>
      </c>
      <c r="F83" s="20" t="s">
        <v>2038</v>
      </c>
      <c r="G83" s="20" t="s">
        <v>2039</v>
      </c>
      <c r="H83" s="20" t="s">
        <v>1754</v>
      </c>
      <c r="I83" s="20" t="s">
        <v>1750</v>
      </c>
      <c r="J83" s="20" t="s">
        <v>1973</v>
      </c>
      <c r="K83" s="20" t="s">
        <v>1973</v>
      </c>
      <c r="L83" s="20" t="s">
        <v>21</v>
      </c>
      <c r="M83" s="20" t="s">
        <v>2041</v>
      </c>
    </row>
    <row r="84" spans="1:13" ht="30" customHeight="1" x14ac:dyDescent="0.25">
      <c r="A84" s="20" t="s">
        <v>381</v>
      </c>
      <c r="B84" s="20" t="s">
        <v>382</v>
      </c>
      <c r="C84" s="20" t="s">
        <v>375</v>
      </c>
      <c r="D84" s="20" t="s">
        <v>71</v>
      </c>
      <c r="E84" s="20" t="s">
        <v>383</v>
      </c>
      <c r="F84" s="20" t="s">
        <v>2038</v>
      </c>
      <c r="G84" s="20" t="s">
        <v>2039</v>
      </c>
      <c r="H84" s="20" t="s">
        <v>1758</v>
      </c>
      <c r="I84" s="20" t="s">
        <v>1750</v>
      </c>
      <c r="J84" s="20" t="s">
        <v>1973</v>
      </c>
      <c r="K84" s="20" t="s">
        <v>1973</v>
      </c>
      <c r="L84" s="20" t="s">
        <v>21</v>
      </c>
      <c r="M84" s="20" t="s">
        <v>2042</v>
      </c>
    </row>
    <row r="85" spans="1:13" ht="30" customHeight="1" x14ac:dyDescent="0.25">
      <c r="A85" s="20" t="s">
        <v>385</v>
      </c>
      <c r="B85" s="20" t="s">
        <v>386</v>
      </c>
      <c r="C85" s="20" t="s">
        <v>375</v>
      </c>
      <c r="D85" s="20" t="s">
        <v>71</v>
      </c>
      <c r="E85" s="20" t="s">
        <v>387</v>
      </c>
      <c r="F85" s="20" t="s">
        <v>2038</v>
      </c>
      <c r="G85" s="20" t="s">
        <v>2039</v>
      </c>
      <c r="H85" s="20" t="s">
        <v>1761</v>
      </c>
      <c r="I85" s="20" t="s">
        <v>1750</v>
      </c>
      <c r="J85" s="20" t="s">
        <v>1973</v>
      </c>
      <c r="K85" s="20" t="s">
        <v>1973</v>
      </c>
      <c r="L85" s="20" t="s">
        <v>21</v>
      </c>
      <c r="M85" s="20" t="s">
        <v>2043</v>
      </c>
    </row>
    <row r="86" spans="1:13" ht="30" customHeight="1" x14ac:dyDescent="0.25">
      <c r="A86" s="20" t="s">
        <v>388</v>
      </c>
      <c r="B86" s="20" t="s">
        <v>389</v>
      </c>
      <c r="C86" s="20" t="s">
        <v>375</v>
      </c>
      <c r="D86" s="20" t="s">
        <v>78</v>
      </c>
      <c r="E86" s="20" t="s">
        <v>390</v>
      </c>
      <c r="F86" s="20" t="s">
        <v>2038</v>
      </c>
      <c r="G86" s="20" t="s">
        <v>2039</v>
      </c>
      <c r="H86" s="20" t="s">
        <v>1765</v>
      </c>
      <c r="I86" s="20" t="s">
        <v>1430</v>
      </c>
      <c r="J86" s="20" t="s">
        <v>1973</v>
      </c>
      <c r="K86" s="20" t="s">
        <v>1973</v>
      </c>
      <c r="L86" s="20" t="s">
        <v>21</v>
      </c>
      <c r="M86" s="20" t="s">
        <v>2043</v>
      </c>
    </row>
    <row r="87" spans="1:13" ht="30" customHeight="1" x14ac:dyDescent="0.25">
      <c r="A87" s="20" t="s">
        <v>391</v>
      </c>
      <c r="B87" s="20" t="s">
        <v>392</v>
      </c>
      <c r="C87" s="20" t="s">
        <v>375</v>
      </c>
      <c r="D87" s="20" t="s">
        <v>71</v>
      </c>
      <c r="E87" s="20" t="s">
        <v>393</v>
      </c>
      <c r="F87" s="20" t="s">
        <v>2038</v>
      </c>
      <c r="G87" s="20" t="s">
        <v>2039</v>
      </c>
      <c r="H87" s="20" t="s">
        <v>1769</v>
      </c>
      <c r="I87" s="20" t="s">
        <v>1750</v>
      </c>
      <c r="J87" s="20" t="s">
        <v>1973</v>
      </c>
      <c r="K87" s="20" t="s">
        <v>1973</v>
      </c>
      <c r="L87" s="20" t="s">
        <v>21</v>
      </c>
      <c r="M87" s="20" t="s">
        <v>2044</v>
      </c>
    </row>
    <row r="88" spans="1:13" ht="30" customHeight="1" x14ac:dyDescent="0.25">
      <c r="A88" s="20" t="s">
        <v>396</v>
      </c>
      <c r="B88" s="20" t="s">
        <v>397</v>
      </c>
      <c r="C88" s="20" t="s">
        <v>375</v>
      </c>
      <c r="D88" s="20" t="s">
        <v>78</v>
      </c>
      <c r="E88" s="20" t="s">
        <v>398</v>
      </c>
      <c r="F88" s="20" t="s">
        <v>2038</v>
      </c>
      <c r="G88" s="20" t="s">
        <v>2039</v>
      </c>
      <c r="H88" s="20" t="s">
        <v>1772</v>
      </c>
      <c r="I88" s="20" t="s">
        <v>1750</v>
      </c>
      <c r="J88" s="20" t="s">
        <v>1973</v>
      </c>
      <c r="K88" s="20" t="s">
        <v>1973</v>
      </c>
      <c r="L88" s="20" t="s">
        <v>21</v>
      </c>
      <c r="M88" s="20" t="s">
        <v>2045</v>
      </c>
    </row>
    <row r="89" spans="1:13" ht="30" customHeight="1" x14ac:dyDescent="0.25">
      <c r="A89" s="20" t="s">
        <v>399</v>
      </c>
      <c r="B89" s="20" t="s">
        <v>400</v>
      </c>
      <c r="C89" s="20" t="s">
        <v>375</v>
      </c>
      <c r="D89" s="20" t="s">
        <v>78</v>
      </c>
      <c r="E89" s="20" t="s">
        <v>401</v>
      </c>
      <c r="F89" s="20" t="s">
        <v>2038</v>
      </c>
      <c r="G89" s="20" t="s">
        <v>2039</v>
      </c>
      <c r="H89" s="20" t="s">
        <v>1775</v>
      </c>
      <c r="I89" s="20" t="s">
        <v>1750</v>
      </c>
      <c r="J89" s="20" t="s">
        <v>1973</v>
      </c>
      <c r="K89" s="20" t="s">
        <v>1973</v>
      </c>
      <c r="L89" s="20" t="s">
        <v>21</v>
      </c>
      <c r="M89" s="20" t="s">
        <v>2046</v>
      </c>
    </row>
    <row r="90" spans="1:13" ht="30" customHeight="1" x14ac:dyDescent="0.25">
      <c r="A90" s="20" t="s">
        <v>403</v>
      </c>
      <c r="B90" s="20" t="s">
        <v>404</v>
      </c>
      <c r="C90" s="20" t="s">
        <v>405</v>
      </c>
      <c r="D90" s="20" t="s">
        <v>71</v>
      </c>
      <c r="E90" s="20" t="s">
        <v>406</v>
      </c>
      <c r="F90" s="20" t="s">
        <v>2018</v>
      </c>
      <c r="G90" s="20" t="s">
        <v>2019</v>
      </c>
      <c r="H90" s="20" t="s">
        <v>1779</v>
      </c>
      <c r="I90" s="20" t="s">
        <v>1496</v>
      </c>
      <c r="J90" s="20" t="s">
        <v>1973</v>
      </c>
      <c r="K90" s="20" t="s">
        <v>1973</v>
      </c>
      <c r="L90" s="20" t="s">
        <v>21</v>
      </c>
      <c r="M90" s="20" t="s">
        <v>2047</v>
      </c>
    </row>
    <row r="91" spans="1:13" ht="30" customHeight="1" x14ac:dyDescent="0.25">
      <c r="A91" s="20" t="s">
        <v>407</v>
      </c>
      <c r="B91" s="20" t="s">
        <v>408</v>
      </c>
      <c r="C91" s="20" t="s">
        <v>405</v>
      </c>
      <c r="D91" s="20" t="s">
        <v>71</v>
      </c>
      <c r="E91" s="20" t="s">
        <v>409</v>
      </c>
      <c r="F91" s="20" t="s">
        <v>2018</v>
      </c>
      <c r="G91" s="20" t="s">
        <v>2019</v>
      </c>
      <c r="H91" s="20" t="s">
        <v>1784</v>
      </c>
      <c r="I91" s="20" t="s">
        <v>1496</v>
      </c>
      <c r="J91" s="20" t="s">
        <v>1973</v>
      </c>
      <c r="K91" s="20" t="s">
        <v>1973</v>
      </c>
      <c r="L91" s="20" t="s">
        <v>21</v>
      </c>
      <c r="M91" s="20" t="s">
        <v>2048</v>
      </c>
    </row>
    <row r="92" spans="1:13" ht="30" customHeight="1" x14ac:dyDescent="0.25">
      <c r="A92" s="20" t="s">
        <v>411</v>
      </c>
      <c r="B92" s="20" t="s">
        <v>412</v>
      </c>
      <c r="C92" s="20" t="s">
        <v>405</v>
      </c>
      <c r="D92" s="20" t="s">
        <v>71</v>
      </c>
      <c r="E92" s="20" t="s">
        <v>413</v>
      </c>
      <c r="F92" s="20" t="s">
        <v>2018</v>
      </c>
      <c r="G92" s="20" t="s">
        <v>2019</v>
      </c>
      <c r="H92" s="20" t="s">
        <v>1788</v>
      </c>
      <c r="I92" s="20" t="s">
        <v>1496</v>
      </c>
      <c r="J92" s="20" t="s">
        <v>1973</v>
      </c>
      <c r="K92" s="20" t="s">
        <v>1973</v>
      </c>
      <c r="L92" s="20" t="s">
        <v>21</v>
      </c>
      <c r="M92" s="20" t="s">
        <v>2049</v>
      </c>
    </row>
    <row r="93" spans="1:13" ht="30" customHeight="1" x14ac:dyDescent="0.25">
      <c r="A93" s="20" t="s">
        <v>415</v>
      </c>
      <c r="B93" s="20" t="s">
        <v>416</v>
      </c>
      <c r="C93" s="20" t="s">
        <v>405</v>
      </c>
      <c r="D93" s="20" t="s">
        <v>71</v>
      </c>
      <c r="E93" s="20" t="s">
        <v>417</v>
      </c>
      <c r="F93" s="20" t="s">
        <v>2018</v>
      </c>
      <c r="G93" s="20" t="s">
        <v>2019</v>
      </c>
      <c r="H93" s="20" t="s">
        <v>1792</v>
      </c>
      <c r="I93" s="20" t="s">
        <v>1600</v>
      </c>
      <c r="J93" s="20" t="s">
        <v>1973</v>
      </c>
      <c r="K93" s="20" t="s">
        <v>1973</v>
      </c>
      <c r="L93" s="20" t="s">
        <v>21</v>
      </c>
      <c r="M93" s="20" t="s">
        <v>2050</v>
      </c>
    </row>
    <row r="94" spans="1:13" ht="30" customHeight="1" x14ac:dyDescent="0.25">
      <c r="A94" s="20" t="s">
        <v>418</v>
      </c>
      <c r="B94" s="20" t="s">
        <v>419</v>
      </c>
      <c r="C94" s="20" t="s">
        <v>405</v>
      </c>
      <c r="D94" s="20" t="s">
        <v>78</v>
      </c>
      <c r="E94" s="20" t="s">
        <v>420</v>
      </c>
      <c r="F94" s="20" t="s">
        <v>2018</v>
      </c>
      <c r="G94" s="20" t="s">
        <v>2019</v>
      </c>
      <c r="H94" s="20" t="s">
        <v>1796</v>
      </c>
      <c r="I94" s="20" t="s">
        <v>1600</v>
      </c>
      <c r="J94" s="20" t="s">
        <v>1973</v>
      </c>
      <c r="K94" s="20" t="s">
        <v>1973</v>
      </c>
      <c r="L94" s="20" t="s">
        <v>21</v>
      </c>
      <c r="M94" s="20" t="s">
        <v>2051</v>
      </c>
    </row>
    <row r="95" spans="1:13" ht="30" customHeight="1" x14ac:dyDescent="0.25">
      <c r="A95" s="20" t="s">
        <v>422</v>
      </c>
      <c r="B95" s="20" t="s">
        <v>423</v>
      </c>
      <c r="C95" s="20" t="s">
        <v>405</v>
      </c>
      <c r="D95" s="20" t="s">
        <v>71</v>
      </c>
      <c r="E95" s="20" t="s">
        <v>424</v>
      </c>
      <c r="F95" s="20" t="s">
        <v>2018</v>
      </c>
      <c r="G95" s="20" t="s">
        <v>2019</v>
      </c>
      <c r="H95" s="20" t="s">
        <v>1800</v>
      </c>
      <c r="I95" s="20" t="s">
        <v>1496</v>
      </c>
      <c r="J95" s="20" t="s">
        <v>1973</v>
      </c>
      <c r="K95" s="20" t="s">
        <v>1973</v>
      </c>
      <c r="L95" s="20" t="s">
        <v>21</v>
      </c>
      <c r="M95" s="20" t="s">
        <v>2049</v>
      </c>
    </row>
    <row r="96" spans="1:13" ht="30" customHeight="1" x14ac:dyDescent="0.25">
      <c r="A96" s="20" t="s">
        <v>425</v>
      </c>
      <c r="B96" s="20" t="s">
        <v>426</v>
      </c>
      <c r="C96" s="20" t="s">
        <v>405</v>
      </c>
      <c r="D96" s="20" t="s">
        <v>94</v>
      </c>
      <c r="E96" s="20" t="s">
        <v>427</v>
      </c>
      <c r="F96" s="20" t="s">
        <v>2018</v>
      </c>
      <c r="G96" s="20" t="s">
        <v>2019</v>
      </c>
      <c r="H96" s="20" t="s">
        <v>1805</v>
      </c>
      <c r="I96" s="20" t="s">
        <v>1496</v>
      </c>
      <c r="J96" s="20" t="s">
        <v>1973</v>
      </c>
      <c r="K96" s="20" t="s">
        <v>1973</v>
      </c>
      <c r="L96" s="20" t="s">
        <v>21</v>
      </c>
      <c r="M96" s="20" t="s">
        <v>2052</v>
      </c>
    </row>
    <row r="97" spans="1:13" ht="30" customHeight="1" x14ac:dyDescent="0.25">
      <c r="A97" s="20" t="s">
        <v>429</v>
      </c>
      <c r="B97" s="20" t="s">
        <v>430</v>
      </c>
      <c r="C97" s="20" t="s">
        <v>431</v>
      </c>
      <c r="D97" s="20" t="s">
        <v>71</v>
      </c>
      <c r="E97" s="20" t="s">
        <v>432</v>
      </c>
      <c r="F97" s="20" t="s">
        <v>2018</v>
      </c>
      <c r="G97" s="20" t="s">
        <v>2019</v>
      </c>
      <c r="H97" s="20" t="s">
        <v>1809</v>
      </c>
      <c r="I97" s="20" t="s">
        <v>1473</v>
      </c>
      <c r="J97" s="20" t="s">
        <v>1973</v>
      </c>
      <c r="K97" s="20" t="s">
        <v>1973</v>
      </c>
      <c r="L97" s="20" t="s">
        <v>21</v>
      </c>
      <c r="M97" s="20" t="s">
        <v>2053</v>
      </c>
    </row>
    <row r="98" spans="1:13" ht="30" customHeight="1" x14ac:dyDescent="0.25">
      <c r="A98" s="20" t="s">
        <v>433</v>
      </c>
      <c r="B98" s="20" t="s">
        <v>434</v>
      </c>
      <c r="C98" s="20" t="s">
        <v>431</v>
      </c>
      <c r="D98" s="20" t="s">
        <v>78</v>
      </c>
      <c r="E98" s="20" t="s">
        <v>435</v>
      </c>
      <c r="F98" s="20" t="s">
        <v>2018</v>
      </c>
      <c r="G98" s="20" t="s">
        <v>2019</v>
      </c>
      <c r="H98" s="20" t="s">
        <v>1814</v>
      </c>
      <c r="I98" s="20" t="s">
        <v>1473</v>
      </c>
      <c r="J98" s="20" t="s">
        <v>1973</v>
      </c>
      <c r="K98" s="20" t="s">
        <v>1973</v>
      </c>
      <c r="L98" s="20" t="s">
        <v>21</v>
      </c>
      <c r="M98" s="20" t="s">
        <v>2054</v>
      </c>
    </row>
    <row r="99" spans="1:13" ht="30" customHeight="1" x14ac:dyDescent="0.25">
      <c r="A99" s="20" t="s">
        <v>437</v>
      </c>
      <c r="B99" s="20" t="s">
        <v>438</v>
      </c>
      <c r="C99" s="20" t="s">
        <v>431</v>
      </c>
      <c r="D99" s="20" t="s">
        <v>71</v>
      </c>
      <c r="E99" s="20" t="s">
        <v>439</v>
      </c>
      <c r="F99" s="20" t="s">
        <v>2018</v>
      </c>
      <c r="G99" s="20" t="s">
        <v>2019</v>
      </c>
      <c r="H99" s="20" t="s">
        <v>1817</v>
      </c>
      <c r="I99" s="20" t="s">
        <v>1473</v>
      </c>
      <c r="J99" s="20" t="s">
        <v>1973</v>
      </c>
      <c r="K99" s="20" t="s">
        <v>1973</v>
      </c>
      <c r="L99" s="20" t="s">
        <v>21</v>
      </c>
      <c r="M99" s="20" t="s">
        <v>2054</v>
      </c>
    </row>
    <row r="100" spans="1:13" ht="30" customHeight="1" x14ac:dyDescent="0.25">
      <c r="A100" s="20" t="s">
        <v>440</v>
      </c>
      <c r="B100" s="20" t="s">
        <v>441</v>
      </c>
      <c r="C100" s="20" t="s">
        <v>431</v>
      </c>
      <c r="D100" s="20" t="s">
        <v>78</v>
      </c>
      <c r="E100" s="20" t="s">
        <v>442</v>
      </c>
      <c r="F100" s="20" t="s">
        <v>2018</v>
      </c>
      <c r="G100" s="20" t="s">
        <v>2019</v>
      </c>
      <c r="H100" s="20" t="s">
        <v>1821</v>
      </c>
      <c r="I100" s="20" t="s">
        <v>1473</v>
      </c>
      <c r="J100" s="20" t="s">
        <v>1973</v>
      </c>
      <c r="K100" s="20" t="s">
        <v>1973</v>
      </c>
      <c r="L100" s="20" t="s">
        <v>21</v>
      </c>
      <c r="M100" s="20" t="s">
        <v>2055</v>
      </c>
    </row>
    <row r="101" spans="1:13" ht="30" customHeight="1" x14ac:dyDescent="0.25">
      <c r="A101" s="20" t="s">
        <v>444</v>
      </c>
      <c r="B101" s="20" t="s">
        <v>445</v>
      </c>
      <c r="C101" s="20" t="s">
        <v>431</v>
      </c>
      <c r="D101" s="20" t="s">
        <v>78</v>
      </c>
      <c r="E101" s="20" t="s">
        <v>446</v>
      </c>
      <c r="F101" s="20" t="s">
        <v>2018</v>
      </c>
      <c r="G101" s="20" t="s">
        <v>2019</v>
      </c>
      <c r="H101" s="20" t="s">
        <v>1824</v>
      </c>
      <c r="I101" s="20" t="s">
        <v>1473</v>
      </c>
      <c r="J101" s="20" t="s">
        <v>1973</v>
      </c>
      <c r="K101" s="20" t="s">
        <v>1973</v>
      </c>
      <c r="L101" s="20" t="s">
        <v>21</v>
      </c>
      <c r="M101" s="20" t="s">
        <v>2056</v>
      </c>
    </row>
    <row r="102" spans="1:13" ht="30" customHeight="1" x14ac:dyDescent="0.25">
      <c r="A102" s="20" t="s">
        <v>447</v>
      </c>
      <c r="B102" s="20" t="s">
        <v>448</v>
      </c>
      <c r="C102" s="20" t="s">
        <v>431</v>
      </c>
      <c r="D102" s="20" t="s">
        <v>78</v>
      </c>
      <c r="E102" s="20" t="s">
        <v>449</v>
      </c>
      <c r="F102" s="20" t="s">
        <v>2018</v>
      </c>
      <c r="G102" s="20" t="s">
        <v>2019</v>
      </c>
      <c r="H102" s="20" t="s">
        <v>1828</v>
      </c>
      <c r="I102" s="20" t="s">
        <v>1473</v>
      </c>
      <c r="J102" s="20" t="s">
        <v>1973</v>
      </c>
      <c r="K102" s="20" t="s">
        <v>1973</v>
      </c>
      <c r="L102" s="20" t="s">
        <v>21</v>
      </c>
      <c r="M102" s="20" t="s">
        <v>2057</v>
      </c>
    </row>
    <row r="103" spans="1:13" ht="30" customHeight="1" x14ac:dyDescent="0.25">
      <c r="A103" s="20" t="s">
        <v>451</v>
      </c>
      <c r="B103" s="20" t="s">
        <v>452</v>
      </c>
      <c r="C103" s="20" t="s">
        <v>431</v>
      </c>
      <c r="D103" s="20" t="s">
        <v>94</v>
      </c>
      <c r="E103" s="20" t="s">
        <v>453</v>
      </c>
      <c r="F103" s="20" t="s">
        <v>2018</v>
      </c>
      <c r="G103" s="20" t="s">
        <v>2019</v>
      </c>
      <c r="H103" s="20" t="s">
        <v>1831</v>
      </c>
      <c r="I103" s="20" t="s">
        <v>1473</v>
      </c>
      <c r="J103" s="20" t="s">
        <v>1973</v>
      </c>
      <c r="K103" s="20" t="s">
        <v>1973</v>
      </c>
      <c r="L103" s="20" t="s">
        <v>21</v>
      </c>
      <c r="M103" s="20" t="s">
        <v>2057</v>
      </c>
    </row>
    <row r="104" spans="1:13" ht="30" customHeight="1" x14ac:dyDescent="0.25">
      <c r="A104" s="20" t="s">
        <v>455</v>
      </c>
      <c r="B104" s="20" t="s">
        <v>456</v>
      </c>
      <c r="C104" s="20" t="s">
        <v>431</v>
      </c>
      <c r="D104" s="20" t="s">
        <v>94</v>
      </c>
      <c r="E104" s="20" t="s">
        <v>457</v>
      </c>
      <c r="F104" s="20" t="s">
        <v>2018</v>
      </c>
      <c r="G104" s="20" t="s">
        <v>2019</v>
      </c>
      <c r="H104" s="20" t="s">
        <v>1836</v>
      </c>
      <c r="I104" s="20" t="s">
        <v>1473</v>
      </c>
      <c r="J104" s="20" t="s">
        <v>1973</v>
      </c>
      <c r="K104" s="20" t="s">
        <v>1973</v>
      </c>
      <c r="L104" s="20" t="s">
        <v>21</v>
      </c>
      <c r="M104" s="20" t="s">
        <v>2058</v>
      </c>
    </row>
    <row r="105" spans="1:13" ht="30" customHeight="1" x14ac:dyDescent="0.25">
      <c r="A105" s="20" t="s">
        <v>459</v>
      </c>
      <c r="B105" s="20" t="s">
        <v>460</v>
      </c>
      <c r="C105" s="20" t="s">
        <v>68</v>
      </c>
      <c r="D105" s="20" t="s">
        <v>71</v>
      </c>
      <c r="E105" s="20" t="s">
        <v>461</v>
      </c>
      <c r="F105" s="20" t="s">
        <v>1971</v>
      </c>
      <c r="G105" s="20" t="s">
        <v>1972</v>
      </c>
      <c r="H105" s="20" t="s">
        <v>1839</v>
      </c>
      <c r="I105" s="20" t="s">
        <v>1430</v>
      </c>
      <c r="J105" s="20" t="s">
        <v>23</v>
      </c>
      <c r="K105" s="20" t="s">
        <v>1973</v>
      </c>
      <c r="L105" s="20" t="s">
        <v>21</v>
      </c>
      <c r="M105" s="20" t="s">
        <v>2059</v>
      </c>
    </row>
    <row r="106" spans="1:13" ht="30" customHeight="1" x14ac:dyDescent="0.25">
      <c r="A106" s="20" t="s">
        <v>463</v>
      </c>
      <c r="B106" s="20" t="s">
        <v>464</v>
      </c>
      <c r="C106" s="20" t="s">
        <v>68</v>
      </c>
      <c r="D106" s="20" t="s">
        <v>71</v>
      </c>
      <c r="E106" s="20" t="s">
        <v>465</v>
      </c>
      <c r="F106" s="20" t="s">
        <v>1971</v>
      </c>
      <c r="G106" s="20" t="s">
        <v>1972</v>
      </c>
      <c r="H106" s="20" t="s">
        <v>1843</v>
      </c>
      <c r="I106" s="20" t="s">
        <v>1430</v>
      </c>
      <c r="J106" s="20" t="s">
        <v>23</v>
      </c>
      <c r="K106" s="20" t="s">
        <v>1973</v>
      </c>
      <c r="L106" s="20" t="s">
        <v>21</v>
      </c>
      <c r="M106" s="20" t="s">
        <v>2060</v>
      </c>
    </row>
    <row r="107" spans="1:13" ht="30" customHeight="1" x14ac:dyDescent="0.25">
      <c r="A107" s="20" t="s">
        <v>467</v>
      </c>
      <c r="B107" s="20" t="s">
        <v>468</v>
      </c>
      <c r="C107" s="20" t="s">
        <v>68</v>
      </c>
      <c r="D107" s="20" t="s">
        <v>71</v>
      </c>
      <c r="E107" s="20" t="s">
        <v>469</v>
      </c>
      <c r="F107" s="20" t="s">
        <v>1971</v>
      </c>
      <c r="G107" s="20" t="s">
        <v>1972</v>
      </c>
      <c r="H107" s="20" t="s">
        <v>1847</v>
      </c>
      <c r="I107" s="20" t="s">
        <v>1430</v>
      </c>
      <c r="J107" s="20" t="s">
        <v>23</v>
      </c>
      <c r="K107" s="20" t="s">
        <v>1973</v>
      </c>
      <c r="L107" s="20" t="s">
        <v>21</v>
      </c>
      <c r="M107" s="20" t="s">
        <v>2061</v>
      </c>
    </row>
    <row r="108" spans="1:13" ht="30" customHeight="1" x14ac:dyDescent="0.25">
      <c r="A108" s="20" t="s">
        <v>471</v>
      </c>
      <c r="B108" s="20" t="s">
        <v>472</v>
      </c>
      <c r="C108" s="20" t="s">
        <v>473</v>
      </c>
      <c r="D108" s="20" t="s">
        <v>71</v>
      </c>
      <c r="E108" s="20" t="s">
        <v>474</v>
      </c>
      <c r="F108" s="20" t="s">
        <v>2062</v>
      </c>
      <c r="G108" s="20" t="s">
        <v>2063</v>
      </c>
      <c r="H108" s="20" t="s">
        <v>1851</v>
      </c>
      <c r="I108" s="20" t="s">
        <v>1853</v>
      </c>
      <c r="J108" s="20" t="s">
        <v>23</v>
      </c>
      <c r="K108" s="20" t="s">
        <v>1973</v>
      </c>
      <c r="L108" s="20" t="s">
        <v>21</v>
      </c>
      <c r="M108" s="20" t="s">
        <v>2064</v>
      </c>
    </row>
    <row r="109" spans="1:13" ht="30" customHeight="1" x14ac:dyDescent="0.25">
      <c r="A109" s="20" t="s">
        <v>476</v>
      </c>
      <c r="B109" s="20" t="s">
        <v>477</v>
      </c>
      <c r="C109" s="20" t="s">
        <v>473</v>
      </c>
      <c r="D109" s="20" t="s">
        <v>71</v>
      </c>
      <c r="E109" s="20" t="s">
        <v>478</v>
      </c>
      <c r="F109" s="20" t="s">
        <v>2062</v>
      </c>
      <c r="G109" s="20" t="s">
        <v>2063</v>
      </c>
      <c r="H109" s="20" t="s">
        <v>1857</v>
      </c>
      <c r="I109" s="20" t="s">
        <v>1853</v>
      </c>
      <c r="J109" s="20" t="s">
        <v>23</v>
      </c>
      <c r="K109" s="20" t="s">
        <v>1973</v>
      </c>
      <c r="L109" s="20" t="s">
        <v>21</v>
      </c>
      <c r="M109" s="20" t="s">
        <v>2065</v>
      </c>
    </row>
    <row r="110" spans="1:13" ht="30" customHeight="1" x14ac:dyDescent="0.25">
      <c r="A110" s="20" t="s">
        <v>480</v>
      </c>
      <c r="B110" s="20" t="s">
        <v>481</v>
      </c>
      <c r="C110" s="20" t="s">
        <v>473</v>
      </c>
      <c r="D110" s="20" t="s">
        <v>78</v>
      </c>
      <c r="E110" s="20" t="s">
        <v>482</v>
      </c>
      <c r="F110" s="20" t="s">
        <v>2062</v>
      </c>
      <c r="G110" s="20" t="s">
        <v>2063</v>
      </c>
      <c r="H110" s="20" t="s">
        <v>1861</v>
      </c>
      <c r="I110" s="20" t="s">
        <v>1853</v>
      </c>
      <c r="J110" s="20" t="s">
        <v>23</v>
      </c>
      <c r="K110" s="20" t="s">
        <v>1973</v>
      </c>
      <c r="L110" s="20" t="s">
        <v>21</v>
      </c>
      <c r="M110" s="20" t="s">
        <v>2066</v>
      </c>
    </row>
    <row r="111" spans="1:13" ht="30" customHeight="1" x14ac:dyDescent="0.25">
      <c r="A111" s="20" t="s">
        <v>484</v>
      </c>
      <c r="B111" s="20" t="s">
        <v>485</v>
      </c>
      <c r="C111" s="20" t="s">
        <v>473</v>
      </c>
      <c r="D111" s="20" t="s">
        <v>71</v>
      </c>
      <c r="E111" s="20" t="s">
        <v>486</v>
      </c>
      <c r="F111" s="20" t="s">
        <v>2062</v>
      </c>
      <c r="G111" s="20" t="s">
        <v>2063</v>
      </c>
      <c r="H111" s="20" t="s">
        <v>1865</v>
      </c>
      <c r="I111" s="20" t="s">
        <v>1853</v>
      </c>
      <c r="J111" s="20" t="s">
        <v>23</v>
      </c>
      <c r="K111" s="20" t="s">
        <v>1973</v>
      </c>
      <c r="L111" s="20" t="s">
        <v>21</v>
      </c>
      <c r="M111" s="20" t="s">
        <v>2067</v>
      </c>
    </row>
    <row r="112" spans="1:13" ht="30" customHeight="1" x14ac:dyDescent="0.25">
      <c r="A112" s="20" t="s">
        <v>488</v>
      </c>
      <c r="B112" s="20" t="s">
        <v>489</v>
      </c>
      <c r="C112" s="20" t="s">
        <v>473</v>
      </c>
      <c r="D112" s="20" t="s">
        <v>71</v>
      </c>
      <c r="E112" s="20" t="s">
        <v>490</v>
      </c>
      <c r="F112" s="20" t="s">
        <v>2062</v>
      </c>
      <c r="G112" s="20" t="s">
        <v>2063</v>
      </c>
      <c r="H112" s="20" t="s">
        <v>1869</v>
      </c>
      <c r="I112" s="20" t="s">
        <v>1853</v>
      </c>
      <c r="J112" s="20" t="s">
        <v>23</v>
      </c>
      <c r="K112" s="20" t="s">
        <v>1973</v>
      </c>
      <c r="L112" s="20" t="s">
        <v>21</v>
      </c>
      <c r="M112" s="20" t="s">
        <v>2068</v>
      </c>
    </row>
    <row r="113" spans="1:13" ht="30" customHeight="1" x14ac:dyDescent="0.25">
      <c r="A113" s="20" t="s">
        <v>492</v>
      </c>
      <c r="B113" s="20" t="s">
        <v>493</v>
      </c>
      <c r="C113" s="20" t="s">
        <v>473</v>
      </c>
      <c r="D113" s="20" t="s">
        <v>78</v>
      </c>
      <c r="E113" s="20" t="s">
        <v>494</v>
      </c>
      <c r="F113" s="20" t="s">
        <v>2062</v>
      </c>
      <c r="G113" s="20" t="s">
        <v>2063</v>
      </c>
      <c r="H113" s="20" t="s">
        <v>1873</v>
      </c>
      <c r="I113" s="20" t="s">
        <v>1853</v>
      </c>
      <c r="J113" s="20" t="s">
        <v>23</v>
      </c>
      <c r="K113" s="20" t="s">
        <v>1973</v>
      </c>
      <c r="L113" s="20" t="s">
        <v>21</v>
      </c>
      <c r="M113" s="20" t="s">
        <v>2069</v>
      </c>
    </row>
    <row r="114" spans="1:13" ht="30" customHeight="1" x14ac:dyDescent="0.25">
      <c r="A114" s="20" t="s">
        <v>496</v>
      </c>
      <c r="B114" s="20" t="s">
        <v>497</v>
      </c>
      <c r="C114" s="20" t="s">
        <v>498</v>
      </c>
      <c r="D114" s="20" t="s">
        <v>71</v>
      </c>
      <c r="E114" s="20" t="s">
        <v>499</v>
      </c>
      <c r="F114" s="20" t="s">
        <v>2010</v>
      </c>
      <c r="G114" s="20" t="s">
        <v>2011</v>
      </c>
      <c r="H114" s="20" t="s">
        <v>1877</v>
      </c>
      <c r="I114" s="20" t="s">
        <v>1632</v>
      </c>
      <c r="J114" s="20" t="s">
        <v>23</v>
      </c>
      <c r="K114" s="20" t="s">
        <v>1973</v>
      </c>
      <c r="L114" s="20" t="s">
        <v>21</v>
      </c>
      <c r="M114" s="20" t="s">
        <v>2070</v>
      </c>
    </row>
    <row r="115" spans="1:13" ht="30" customHeight="1" x14ac:dyDescent="0.25">
      <c r="A115" s="20" t="s">
        <v>502</v>
      </c>
      <c r="B115" s="20" t="s">
        <v>503</v>
      </c>
      <c r="C115" s="20" t="s">
        <v>498</v>
      </c>
      <c r="D115" s="20" t="s">
        <v>71</v>
      </c>
      <c r="E115" s="20" t="s">
        <v>504</v>
      </c>
      <c r="F115" s="20" t="s">
        <v>2010</v>
      </c>
      <c r="G115" s="20" t="s">
        <v>2011</v>
      </c>
      <c r="H115" s="20" t="s">
        <v>1882</v>
      </c>
      <c r="I115" s="20" t="s">
        <v>1632</v>
      </c>
      <c r="J115" s="20" t="s">
        <v>23</v>
      </c>
      <c r="K115" s="20" t="s">
        <v>1973</v>
      </c>
      <c r="L115" s="20" t="s">
        <v>21</v>
      </c>
      <c r="M115" s="20" t="s">
        <v>2071</v>
      </c>
    </row>
    <row r="116" spans="1:13" ht="30" customHeight="1" x14ac:dyDescent="0.25">
      <c r="A116" s="20" t="s">
        <v>506</v>
      </c>
      <c r="B116" s="20" t="s">
        <v>507</v>
      </c>
      <c r="C116" s="20" t="s">
        <v>498</v>
      </c>
      <c r="D116" s="20" t="s">
        <v>71</v>
      </c>
      <c r="E116" s="20" t="s">
        <v>508</v>
      </c>
      <c r="F116" s="20" t="s">
        <v>2010</v>
      </c>
      <c r="G116" s="20" t="s">
        <v>2011</v>
      </c>
      <c r="H116" s="20" t="s">
        <v>1886</v>
      </c>
      <c r="I116" s="20" t="s">
        <v>1632</v>
      </c>
      <c r="J116" s="20" t="s">
        <v>23</v>
      </c>
      <c r="K116" s="20" t="s">
        <v>1973</v>
      </c>
      <c r="L116" s="20" t="s">
        <v>21</v>
      </c>
      <c r="M116" s="20" t="s">
        <v>2072</v>
      </c>
    </row>
    <row r="117" spans="1:13" ht="30" customHeight="1" x14ac:dyDescent="0.25">
      <c r="A117" s="20" t="s">
        <v>510</v>
      </c>
      <c r="B117" s="20" t="s">
        <v>511</v>
      </c>
      <c r="C117" s="20" t="s">
        <v>498</v>
      </c>
      <c r="D117" s="20" t="s">
        <v>71</v>
      </c>
      <c r="E117" s="20" t="s">
        <v>512</v>
      </c>
      <c r="F117" s="20" t="s">
        <v>2010</v>
      </c>
      <c r="G117" s="20" t="s">
        <v>2011</v>
      </c>
      <c r="H117" s="20" t="s">
        <v>1890</v>
      </c>
      <c r="I117" s="20" t="s">
        <v>1632</v>
      </c>
      <c r="J117" s="20" t="s">
        <v>23</v>
      </c>
      <c r="K117" s="20" t="s">
        <v>1973</v>
      </c>
      <c r="L117" s="20" t="s">
        <v>21</v>
      </c>
      <c r="M117" s="20" t="s">
        <v>2073</v>
      </c>
    </row>
    <row r="118" spans="1:13" ht="30" customHeight="1" x14ac:dyDescent="0.25">
      <c r="A118" s="20" t="s">
        <v>514</v>
      </c>
      <c r="B118" s="20" t="s">
        <v>515</v>
      </c>
      <c r="C118" s="20" t="s">
        <v>498</v>
      </c>
      <c r="D118" s="20" t="s">
        <v>78</v>
      </c>
      <c r="E118" s="20" t="s">
        <v>516</v>
      </c>
      <c r="F118" s="20" t="s">
        <v>2010</v>
      </c>
      <c r="G118" s="20" t="s">
        <v>2011</v>
      </c>
      <c r="H118" s="20" t="s">
        <v>1894</v>
      </c>
      <c r="I118" s="20" t="s">
        <v>1632</v>
      </c>
      <c r="J118" s="20" t="s">
        <v>23</v>
      </c>
      <c r="K118" s="20" t="s">
        <v>1973</v>
      </c>
      <c r="L118" s="20" t="s">
        <v>21</v>
      </c>
      <c r="M118" s="20" t="s">
        <v>2074</v>
      </c>
    </row>
    <row r="119" spans="1:13" ht="30" customHeight="1" x14ac:dyDescent="0.25">
      <c r="A119" s="20" t="s">
        <v>519</v>
      </c>
      <c r="B119" s="20" t="s">
        <v>520</v>
      </c>
      <c r="C119" s="20" t="s">
        <v>258</v>
      </c>
      <c r="D119" s="20" t="s">
        <v>71</v>
      </c>
      <c r="E119" s="20" t="s">
        <v>521</v>
      </c>
      <c r="F119" s="20" t="s">
        <v>2010</v>
      </c>
      <c r="G119" s="20" t="s">
        <v>2011</v>
      </c>
      <c r="H119" s="20" t="s">
        <v>1898</v>
      </c>
      <c r="I119" s="20" t="s">
        <v>1632</v>
      </c>
      <c r="J119" s="20" t="s">
        <v>23</v>
      </c>
      <c r="K119" s="20" t="s">
        <v>1973</v>
      </c>
      <c r="L119" s="20" t="s">
        <v>21</v>
      </c>
      <c r="M119" s="20" t="s">
        <v>2075</v>
      </c>
    </row>
    <row r="120" spans="1:13" ht="30" customHeight="1" x14ac:dyDescent="0.25">
      <c r="A120" s="20" t="s">
        <v>523</v>
      </c>
      <c r="B120" s="20" t="s">
        <v>524</v>
      </c>
      <c r="C120" s="20" t="s">
        <v>258</v>
      </c>
      <c r="D120" s="20" t="s">
        <v>71</v>
      </c>
      <c r="E120" s="20" t="s">
        <v>525</v>
      </c>
      <c r="F120" s="20" t="s">
        <v>2010</v>
      </c>
      <c r="G120" s="20" t="s">
        <v>2011</v>
      </c>
      <c r="H120" s="20" t="s">
        <v>1902</v>
      </c>
      <c r="I120" s="20" t="s">
        <v>1632</v>
      </c>
      <c r="J120" s="20" t="s">
        <v>23</v>
      </c>
      <c r="K120" s="20" t="s">
        <v>1973</v>
      </c>
      <c r="L120" s="20" t="s">
        <v>21</v>
      </c>
      <c r="M120" s="20" t="s">
        <v>2076</v>
      </c>
    </row>
    <row r="121" spans="1:13" ht="30" customHeight="1" x14ac:dyDescent="0.25">
      <c r="A121" s="20" t="s">
        <v>527</v>
      </c>
      <c r="B121" s="20" t="s">
        <v>528</v>
      </c>
      <c r="C121" s="20" t="s">
        <v>258</v>
      </c>
      <c r="D121" s="20" t="s">
        <v>71</v>
      </c>
      <c r="E121" s="20" t="s">
        <v>529</v>
      </c>
      <c r="F121" s="20" t="s">
        <v>2010</v>
      </c>
      <c r="G121" s="20" t="s">
        <v>2011</v>
      </c>
      <c r="H121" s="20" t="s">
        <v>1906</v>
      </c>
      <c r="I121" s="20" t="s">
        <v>1632</v>
      </c>
      <c r="J121" s="20" t="s">
        <v>23</v>
      </c>
      <c r="K121" s="20" t="s">
        <v>1973</v>
      </c>
      <c r="L121" s="20" t="s">
        <v>21</v>
      </c>
      <c r="M121" s="20" t="s">
        <v>2077</v>
      </c>
    </row>
    <row r="122" spans="1:13" ht="30" customHeight="1" x14ac:dyDescent="0.25">
      <c r="A122" s="20" t="s">
        <v>531</v>
      </c>
      <c r="B122" s="20" t="s">
        <v>532</v>
      </c>
      <c r="C122" s="20" t="s">
        <v>258</v>
      </c>
      <c r="D122" s="20" t="s">
        <v>78</v>
      </c>
      <c r="E122" s="20" t="s">
        <v>533</v>
      </c>
      <c r="F122" s="20" t="s">
        <v>2010</v>
      </c>
      <c r="G122" s="20" t="s">
        <v>2011</v>
      </c>
      <c r="H122" s="20" t="s">
        <v>1910</v>
      </c>
      <c r="I122" s="20" t="s">
        <v>1632</v>
      </c>
      <c r="J122" s="20" t="s">
        <v>23</v>
      </c>
      <c r="K122" s="20" t="s">
        <v>1973</v>
      </c>
      <c r="L122" s="20" t="s">
        <v>21</v>
      </c>
      <c r="M122" s="20" t="s">
        <v>2078</v>
      </c>
    </row>
    <row r="123" spans="1:13" ht="30" customHeight="1" x14ac:dyDescent="0.25">
      <c r="A123" s="20" t="s">
        <v>535</v>
      </c>
      <c r="B123" s="20" t="s">
        <v>536</v>
      </c>
      <c r="C123" s="20" t="s">
        <v>160</v>
      </c>
      <c r="D123" s="20" t="s">
        <v>78</v>
      </c>
      <c r="E123" s="20" t="s">
        <v>537</v>
      </c>
      <c r="F123" s="20" t="s">
        <v>1984</v>
      </c>
      <c r="G123" s="20" t="s">
        <v>1985</v>
      </c>
      <c r="H123" s="20" t="s">
        <v>1914</v>
      </c>
      <c r="I123" s="20" t="s">
        <v>1496</v>
      </c>
      <c r="J123" s="20" t="s">
        <v>23</v>
      </c>
      <c r="K123" s="20" t="s">
        <v>1973</v>
      </c>
      <c r="L123" s="20" t="s">
        <v>21</v>
      </c>
      <c r="M123" s="20" t="s">
        <v>2079</v>
      </c>
    </row>
    <row r="124" spans="1:13" ht="30" customHeight="1" x14ac:dyDescent="0.25">
      <c r="A124" s="20" t="s">
        <v>539</v>
      </c>
      <c r="B124" s="20" t="s">
        <v>540</v>
      </c>
      <c r="C124" s="20" t="s">
        <v>160</v>
      </c>
      <c r="D124" s="20" t="s">
        <v>78</v>
      </c>
      <c r="E124" s="20" t="s">
        <v>541</v>
      </c>
      <c r="F124" s="20" t="s">
        <v>1984</v>
      </c>
      <c r="G124" s="20" t="s">
        <v>1985</v>
      </c>
      <c r="H124" s="20" t="s">
        <v>1918</v>
      </c>
      <c r="I124" s="20" t="s">
        <v>1496</v>
      </c>
      <c r="J124" s="20" t="s">
        <v>23</v>
      </c>
      <c r="K124" s="20" t="s">
        <v>1973</v>
      </c>
      <c r="L124" s="20" t="s">
        <v>21</v>
      </c>
      <c r="M124" s="20" t="s">
        <v>2080</v>
      </c>
    </row>
    <row r="125" spans="1:13" ht="30" customHeight="1" x14ac:dyDescent="0.25">
      <c r="A125" s="20" t="s">
        <v>543</v>
      </c>
      <c r="B125" s="20" t="s">
        <v>544</v>
      </c>
      <c r="C125" s="20" t="s">
        <v>230</v>
      </c>
      <c r="D125" s="20" t="s">
        <v>71</v>
      </c>
      <c r="E125" s="20" t="s">
        <v>545</v>
      </c>
      <c r="F125" s="20" t="s">
        <v>2004</v>
      </c>
      <c r="G125" s="20" t="s">
        <v>2005</v>
      </c>
      <c r="H125" s="20" t="s">
        <v>1922</v>
      </c>
      <c r="I125" s="20" t="s">
        <v>1496</v>
      </c>
      <c r="J125" s="20" t="s">
        <v>23</v>
      </c>
      <c r="K125" s="20" t="s">
        <v>1973</v>
      </c>
      <c r="L125" s="20" t="s">
        <v>21</v>
      </c>
      <c r="M125" s="20" t="s">
        <v>2081</v>
      </c>
    </row>
    <row r="126" spans="1:13" ht="30" customHeight="1" x14ac:dyDescent="0.25">
      <c r="A126" s="20" t="s">
        <v>547</v>
      </c>
      <c r="B126" s="20" t="s">
        <v>548</v>
      </c>
      <c r="C126" s="20" t="s">
        <v>230</v>
      </c>
      <c r="D126" s="20" t="s">
        <v>71</v>
      </c>
      <c r="E126" s="20" t="s">
        <v>549</v>
      </c>
      <c r="F126" s="20" t="s">
        <v>2004</v>
      </c>
      <c r="G126" s="20" t="s">
        <v>2005</v>
      </c>
      <c r="H126" s="20" t="s">
        <v>1926</v>
      </c>
      <c r="I126" s="20" t="s">
        <v>1496</v>
      </c>
      <c r="J126" s="20" t="s">
        <v>23</v>
      </c>
      <c r="K126" s="20" t="s">
        <v>1973</v>
      </c>
      <c r="L126" s="20" t="s">
        <v>21</v>
      </c>
      <c r="M126" s="20" t="s">
        <v>2082</v>
      </c>
    </row>
    <row r="127" spans="1:13" ht="30" customHeight="1" x14ac:dyDescent="0.25">
      <c r="A127" s="20" t="s">
        <v>551</v>
      </c>
      <c r="B127" s="20" t="s">
        <v>552</v>
      </c>
      <c r="C127" s="20" t="s">
        <v>230</v>
      </c>
      <c r="D127" s="20" t="s">
        <v>78</v>
      </c>
      <c r="E127" s="20" t="s">
        <v>553</v>
      </c>
      <c r="F127" s="20" t="s">
        <v>2004</v>
      </c>
      <c r="G127" s="20" t="s">
        <v>2005</v>
      </c>
      <c r="H127" s="20" t="s">
        <v>1930</v>
      </c>
      <c r="I127" s="20" t="s">
        <v>1496</v>
      </c>
      <c r="J127" s="20" t="s">
        <v>23</v>
      </c>
      <c r="K127" s="20" t="s">
        <v>1973</v>
      </c>
      <c r="L127" s="20" t="s">
        <v>21</v>
      </c>
      <c r="M127" s="20" t="s">
        <v>2083</v>
      </c>
    </row>
    <row r="128" spans="1:13" ht="30" customHeight="1" x14ac:dyDescent="0.25">
      <c r="A128" s="20" t="s">
        <v>555</v>
      </c>
      <c r="B128" s="20" t="s">
        <v>556</v>
      </c>
      <c r="C128" s="20" t="s">
        <v>286</v>
      </c>
      <c r="D128" s="20" t="s">
        <v>78</v>
      </c>
      <c r="E128" s="20" t="s">
        <v>557</v>
      </c>
      <c r="F128" s="20" t="s">
        <v>2018</v>
      </c>
      <c r="G128" s="20" t="s">
        <v>2019</v>
      </c>
      <c r="H128" s="20" t="s">
        <v>1934</v>
      </c>
      <c r="I128" s="20" t="s">
        <v>1496</v>
      </c>
      <c r="J128" s="20" t="s">
        <v>23</v>
      </c>
      <c r="K128" s="20" t="s">
        <v>1973</v>
      </c>
      <c r="L128" s="20" t="s">
        <v>21</v>
      </c>
      <c r="M128" s="20" t="s">
        <v>2084</v>
      </c>
    </row>
    <row r="129" spans="1:13" ht="30" customHeight="1" x14ac:dyDescent="0.25">
      <c r="A129" s="20" t="s">
        <v>559</v>
      </c>
      <c r="B129" s="20" t="s">
        <v>560</v>
      </c>
      <c r="C129" s="20" t="s">
        <v>314</v>
      </c>
      <c r="D129" s="20" t="s">
        <v>78</v>
      </c>
      <c r="E129" s="20" t="s">
        <v>561</v>
      </c>
      <c r="F129" s="20" t="s">
        <v>2018</v>
      </c>
      <c r="G129" s="20" t="s">
        <v>2019</v>
      </c>
      <c r="H129" s="20" t="s">
        <v>1938</v>
      </c>
      <c r="I129" s="20" t="s">
        <v>1496</v>
      </c>
      <c r="J129" s="20" t="s">
        <v>23</v>
      </c>
      <c r="K129" s="20" t="s">
        <v>1973</v>
      </c>
      <c r="L129" s="20" t="s">
        <v>21</v>
      </c>
      <c r="M129" s="20" t="s">
        <v>2085</v>
      </c>
    </row>
    <row r="130" spans="1:13" ht="30" customHeight="1" x14ac:dyDescent="0.25">
      <c r="A130" s="20" t="s">
        <v>563</v>
      </c>
      <c r="B130" s="20" t="s">
        <v>564</v>
      </c>
      <c r="C130" s="20" t="s">
        <v>431</v>
      </c>
      <c r="D130" s="20" t="s">
        <v>71</v>
      </c>
      <c r="E130" s="20" t="s">
        <v>565</v>
      </c>
      <c r="F130" s="20" t="s">
        <v>2018</v>
      </c>
      <c r="G130" s="20" t="s">
        <v>2019</v>
      </c>
      <c r="H130" s="20" t="s">
        <v>1942</v>
      </c>
      <c r="I130" s="20" t="s">
        <v>1473</v>
      </c>
      <c r="J130" s="20" t="s">
        <v>23</v>
      </c>
      <c r="K130" s="20" t="s">
        <v>1973</v>
      </c>
      <c r="L130" s="20" t="s">
        <v>21</v>
      </c>
      <c r="M130" s="20" t="s">
        <v>2086</v>
      </c>
    </row>
    <row r="131" spans="1:13" ht="30" customHeight="1" x14ac:dyDescent="0.25">
      <c r="A131" s="20" t="s">
        <v>567</v>
      </c>
      <c r="B131" s="20" t="s">
        <v>568</v>
      </c>
      <c r="C131" s="20" t="s">
        <v>569</v>
      </c>
      <c r="D131" s="20" t="s">
        <v>71</v>
      </c>
      <c r="E131" s="20" t="s">
        <v>570</v>
      </c>
      <c r="F131" s="20" t="s">
        <v>2062</v>
      </c>
      <c r="G131" s="20" t="s">
        <v>2063</v>
      </c>
      <c r="H131" s="20" t="s">
        <v>1946</v>
      </c>
      <c r="I131" s="20" t="s">
        <v>1496</v>
      </c>
      <c r="J131" s="20" t="s">
        <v>23</v>
      </c>
      <c r="K131" s="20" t="s">
        <v>1973</v>
      </c>
      <c r="L131" s="20" t="s">
        <v>21</v>
      </c>
      <c r="M131" s="20" t="s">
        <v>2087</v>
      </c>
    </row>
    <row r="132" spans="1:13" ht="30" customHeight="1" x14ac:dyDescent="0.25">
      <c r="A132" s="20" t="s">
        <v>571</v>
      </c>
      <c r="B132" s="20" t="s">
        <v>572</v>
      </c>
      <c r="C132" s="20" t="s">
        <v>569</v>
      </c>
      <c r="D132" s="20" t="s">
        <v>71</v>
      </c>
      <c r="E132" s="20" t="s">
        <v>573</v>
      </c>
      <c r="F132" s="20" t="s">
        <v>2062</v>
      </c>
      <c r="G132" s="20" t="s">
        <v>2063</v>
      </c>
      <c r="H132" s="20" t="s">
        <v>1951</v>
      </c>
      <c r="I132" s="20" t="s">
        <v>1496</v>
      </c>
      <c r="J132" s="20" t="s">
        <v>23</v>
      </c>
      <c r="K132" s="20" t="s">
        <v>1973</v>
      </c>
      <c r="L132" s="20" t="s">
        <v>21</v>
      </c>
      <c r="M132" s="20" t="s">
        <v>2088</v>
      </c>
    </row>
    <row r="133" spans="1:13" ht="30" customHeight="1" x14ac:dyDescent="0.25">
      <c r="A133" s="20" t="s">
        <v>575</v>
      </c>
      <c r="B133" s="20" t="s">
        <v>576</v>
      </c>
      <c r="C133" s="20" t="s">
        <v>569</v>
      </c>
      <c r="D133" s="20" t="s">
        <v>71</v>
      </c>
      <c r="E133" s="20" t="s">
        <v>577</v>
      </c>
      <c r="F133" s="20" t="s">
        <v>2062</v>
      </c>
      <c r="G133" s="20" t="s">
        <v>2063</v>
      </c>
      <c r="H133" s="20" t="s">
        <v>1955</v>
      </c>
      <c r="I133" s="20" t="s">
        <v>1430</v>
      </c>
      <c r="J133" s="20" t="s">
        <v>23</v>
      </c>
      <c r="K133" s="20" t="s">
        <v>1973</v>
      </c>
      <c r="L133" s="20" t="s">
        <v>21</v>
      </c>
      <c r="M133" s="20" t="s">
        <v>2087</v>
      </c>
    </row>
    <row r="134" spans="1:13" ht="30" customHeight="1" x14ac:dyDescent="0.25">
      <c r="A134" s="20" t="s">
        <v>579</v>
      </c>
      <c r="B134" s="20" t="s">
        <v>580</v>
      </c>
      <c r="C134" s="20" t="s">
        <v>569</v>
      </c>
      <c r="D134" s="20" t="s">
        <v>78</v>
      </c>
      <c r="E134" s="20" t="s">
        <v>581</v>
      </c>
      <c r="F134" s="20" t="s">
        <v>2062</v>
      </c>
      <c r="G134" s="20" t="s">
        <v>2063</v>
      </c>
      <c r="H134" s="20" t="s">
        <v>1959</v>
      </c>
      <c r="I134" s="20" t="s">
        <v>1496</v>
      </c>
      <c r="J134" s="20" t="s">
        <v>23</v>
      </c>
      <c r="K134" s="20" t="s">
        <v>1973</v>
      </c>
      <c r="L134" s="20" t="s">
        <v>21</v>
      </c>
      <c r="M134" s="20" t="s">
        <v>2089</v>
      </c>
    </row>
  </sheetData>
  <mergeCells count="2">
    <mergeCell ref="A2:M2"/>
    <mergeCell ref="A1:M1"/>
  </mergeCells>
  <conditionalFormatting sqref="J4:J134">
    <cfRule type="expression" dxfId="55" priority="1">
      <formula>$J4="✅ Verificado"</formula>
    </cfRule>
    <cfRule type="expression" dxfId="54" priority="2">
      <formula>$J4="✅ Trazado"</formula>
    </cfRule>
    <cfRule type="expression" dxfId="53" priority="3">
      <formula>$J4="✅ Documentado"</formula>
    </cfRule>
    <cfRule type="expression" dxfId="52" priority="4">
      <formula>$J4="🧪 Planificado"</formula>
    </cfRule>
    <cfRule type="expression" dxfId="51" priority="5">
      <formula>$J4="⚠ Validar brecha v2.0"</formula>
    </cfRule>
    <cfRule type="expression" dxfId="50" priority="6">
      <formula>$J4="⏳ Pendiente"</formula>
    </cfRule>
    <cfRule type="expression" dxfId="49" priority="7">
      <formula>$J4="🔄 En Progreso"</formula>
    </cfRule>
    <cfRule type="expression" dxfId="48" priority="8">
      <formula>$J4="❌ No Cumplido"</formula>
    </cfRule>
  </conditionalFormatting>
  <conditionalFormatting sqref="K4:K134">
    <cfRule type="expression" dxfId="47" priority="9">
      <formula>$K4="✅ Verificado"</formula>
    </cfRule>
    <cfRule type="expression" dxfId="46" priority="10">
      <formula>$K4="✅ Trazado"</formula>
    </cfRule>
    <cfRule type="expression" dxfId="45" priority="11">
      <formula>$K4="✅ Documentado"</formula>
    </cfRule>
    <cfRule type="expression" dxfId="44" priority="12">
      <formula>$K4="🧪 Planificado"</formula>
    </cfRule>
    <cfRule type="expression" dxfId="43" priority="13">
      <formula>$K4="⚠ Validar brecha v2.0"</formula>
    </cfRule>
    <cfRule type="expression" dxfId="42" priority="14">
      <formula>$K4="⏳ Pendiente"</formula>
    </cfRule>
    <cfRule type="expression" dxfId="41" priority="15">
      <formula>$K4="🔄 En Progreso"</formula>
    </cfRule>
    <cfRule type="expression" dxfId="40" priority="16">
      <formula>$K4="❌ No Cumplido"</formula>
    </cfRule>
  </conditionalFormatting>
  <conditionalFormatting sqref="L4:L134">
    <cfRule type="expression" dxfId="39" priority="17">
      <formula>$L4="✅ Verificado"</formula>
    </cfRule>
    <cfRule type="expression" dxfId="38" priority="18">
      <formula>$L4="✅ Trazado"</formula>
    </cfRule>
    <cfRule type="expression" dxfId="37" priority="19">
      <formula>$L4="✅ Documentado"</formula>
    </cfRule>
    <cfRule type="expression" dxfId="36" priority="20">
      <formula>$L4="🧪 Planificado"</formula>
    </cfRule>
    <cfRule type="expression" dxfId="35" priority="21">
      <formula>$L4="⚠ Validar brecha v2.0"</formula>
    </cfRule>
    <cfRule type="expression" dxfId="34" priority="22">
      <formula>$L4="⏳ Pendiente"</formula>
    </cfRule>
    <cfRule type="expression" dxfId="33" priority="23">
      <formula>$L4="🔄 En Progreso"</formula>
    </cfRule>
    <cfRule type="expression" dxfId="32" priority="24">
      <formula>$L4="❌ No Cumplido"</formula>
    </cfRule>
  </conditionalFormatting>
  <dataValidations count="2">
    <dataValidation type="list" allowBlank="1" sqref="J4 J5 J6 J7 J8 J9 J10 J11 J12 J13 J14 J15 J16 J17 J18 J19 J20 J21 J22 J23 J24 J25 J26 J27 J28 J29 J30 J31 J32 J33 K4 K5 K6 K7 K8 K9 K10 K11 K12 K13 K14 K15 K16 K17 K18 K19 K20 K21 K22 K23 K24 K25 K26 K27 K28 K29 K30 K31 K32 K33 L4 L5 L6 L7 L8 L9 L10 L11 L12 L13 L14 L15 L16 L17 L18 L19 L20 L21 L22 L23 L24 L25 L26 L27 L28 L29 L30 L31 L32 L33" xr:uid="{00000000-0002-0000-0400-000000000000}">
      <formula1>"✅ Verificado,🔄 En Progreso,❌ No Cumplido,⏳ Pendiente,🚫 Cancelado"</formula1>
    </dataValidation>
    <dataValidation type="list" allowBlank="1" sqref="D4 D5 D6 D7 D8 D9 D10 D11 D12 D13 D14 D15 D16 D17 D18 D19 D20 D21 D22 D23 D24 D25 D26 D27 D28 D29 D30 D31 D32 D33" xr:uid="{00000000-0002-0000-0400-000001000000}">
      <formula1>"Alta,Media,Baja"</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35"/>
  <sheetViews>
    <sheetView showGridLines="0" workbookViewId="0"/>
  </sheetViews>
  <sheetFormatPr baseColWidth="10" defaultColWidth="9.140625" defaultRowHeight="15" x14ac:dyDescent="0.25"/>
  <cols>
    <col min="1" max="1" width="2" customWidth="1"/>
    <col min="2" max="2" width="42" customWidth="1"/>
    <col min="3" max="4" width="14" customWidth="1"/>
    <col min="5" max="5" width="28" customWidth="1"/>
    <col min="6" max="6" width="20" customWidth="1"/>
    <col min="7" max="7" width="52" customWidth="1"/>
  </cols>
  <sheetData>
    <row r="1" spans="2:7" ht="30" customHeight="1" x14ac:dyDescent="0.3">
      <c r="B1" s="52" t="s">
        <v>2090</v>
      </c>
      <c r="C1" s="68"/>
      <c r="D1" s="68"/>
      <c r="E1" s="68"/>
      <c r="F1" s="68"/>
      <c r="G1" s="68"/>
    </row>
    <row r="2" spans="2:7" ht="15.95" customHeight="1" x14ac:dyDescent="0.25">
      <c r="B2" s="55" t="s">
        <v>2091</v>
      </c>
      <c r="C2" s="67"/>
      <c r="D2" s="67"/>
      <c r="E2" s="67"/>
      <c r="F2" s="67"/>
      <c r="G2" s="67"/>
    </row>
    <row r="4" spans="2:7" ht="30" customHeight="1" x14ac:dyDescent="0.25">
      <c r="B4" s="12" t="s">
        <v>2092</v>
      </c>
      <c r="C4" s="12" t="s">
        <v>2093</v>
      </c>
      <c r="D4" s="12" t="s">
        <v>2094</v>
      </c>
      <c r="E4" s="12" t="s">
        <v>2095</v>
      </c>
      <c r="F4" s="12" t="s">
        <v>2096</v>
      </c>
      <c r="G4" s="12" t="s">
        <v>2097</v>
      </c>
    </row>
    <row r="5" spans="2:7" ht="24" customHeight="1" x14ac:dyDescent="0.25">
      <c r="B5" s="27" t="s">
        <v>68</v>
      </c>
      <c r="C5" s="28">
        <f>COUNTIF('MATRIZ COMPLETA'!$C$4:$C$134,B5)</f>
        <v>12</v>
      </c>
      <c r="D5" s="28">
        <f>COUNTIFS('MATRIZ COMPLETA'!$C$4:$C$134,B5,'MATRIZ COMPLETA'!$E$4:$E$134,"&lt;&gt;")</f>
        <v>12</v>
      </c>
      <c r="E5" s="28">
        <f>COUNTIFS('MATRIZ COMPLETA'!$C$4:$C$134,B5,'MATRIZ COMPLETA'!$F$4:$F$134,"&lt;&gt;")</f>
        <v>12</v>
      </c>
      <c r="F5" s="28">
        <f>COUNTIFS('MATRIZ COMPLETA'!$C$4:$C$134,B5,'MATRIZ COMPLETA'!$H$4:$H$134,"&lt;&gt;")</f>
        <v>12</v>
      </c>
      <c r="G5" s="29">
        <f t="shared" ref="G5:G22" si="0">IF(C5=0,0,(D5+E5+F5)/(C5*3))</f>
        <v>1</v>
      </c>
    </row>
    <row r="6" spans="2:7" ht="24" customHeight="1" x14ac:dyDescent="0.25">
      <c r="B6" s="30" t="s">
        <v>107</v>
      </c>
      <c r="C6" s="31">
        <f>COUNTIF('MATRIZ COMPLETA'!$C$4:$C$134,B6)</f>
        <v>5</v>
      </c>
      <c r="D6" s="31">
        <f>COUNTIFS('MATRIZ COMPLETA'!$C$4:$C$134,B6,'MATRIZ COMPLETA'!$E$4:$E$134,"&lt;&gt;")</f>
        <v>5</v>
      </c>
      <c r="E6" s="31">
        <f>COUNTIFS('MATRIZ COMPLETA'!$C$4:$C$134,B6,'MATRIZ COMPLETA'!$F$4:$F$134,"&lt;&gt;")</f>
        <v>5</v>
      </c>
      <c r="F6" s="31">
        <f>COUNTIFS('MATRIZ COMPLETA'!$C$4:$C$134,B6,'MATRIZ COMPLETA'!$H$4:$H$134,"&lt;&gt;")</f>
        <v>5</v>
      </c>
      <c r="G6" s="32">
        <f t="shared" si="0"/>
        <v>1</v>
      </c>
    </row>
    <row r="7" spans="2:7" ht="24" customHeight="1" x14ac:dyDescent="0.25">
      <c r="B7" s="27" t="s">
        <v>569</v>
      </c>
      <c r="C7" s="28">
        <f>COUNTIF('MATRIZ COMPLETA'!$C$4:$C$134,B7)</f>
        <v>4</v>
      </c>
      <c r="D7" s="28">
        <f>COUNTIFS('MATRIZ COMPLETA'!$C$4:$C$134,B7,'MATRIZ COMPLETA'!$E$4:$E$134,"&lt;&gt;")</f>
        <v>4</v>
      </c>
      <c r="E7" s="28">
        <f>COUNTIFS('MATRIZ COMPLETA'!$C$4:$C$134,B7,'MATRIZ COMPLETA'!$F$4:$F$134,"&lt;&gt;")</f>
        <v>4</v>
      </c>
      <c r="F7" s="28">
        <f>COUNTIFS('MATRIZ COMPLETA'!$C$4:$C$134,B7,'MATRIZ COMPLETA'!$H$4:$H$134,"&lt;&gt;")</f>
        <v>4</v>
      </c>
      <c r="G7" s="29">
        <f t="shared" si="0"/>
        <v>1</v>
      </c>
    </row>
    <row r="8" spans="2:7" ht="24" customHeight="1" x14ac:dyDescent="0.25">
      <c r="B8" s="30" t="s">
        <v>126</v>
      </c>
      <c r="C8" s="31">
        <f>COUNTIF('MATRIZ COMPLETA'!$C$4:$C$134,B8)</f>
        <v>9</v>
      </c>
      <c r="D8" s="31">
        <f>COUNTIFS('MATRIZ COMPLETA'!$C$4:$C$134,B8,'MATRIZ COMPLETA'!$E$4:$E$134,"&lt;&gt;")</f>
        <v>9</v>
      </c>
      <c r="E8" s="31">
        <f>COUNTIFS('MATRIZ COMPLETA'!$C$4:$C$134,B8,'MATRIZ COMPLETA'!$F$4:$F$134,"&lt;&gt;")</f>
        <v>9</v>
      </c>
      <c r="F8" s="31">
        <f>COUNTIFS('MATRIZ COMPLETA'!$C$4:$C$134,B8,'MATRIZ COMPLETA'!$H$4:$H$134,"&lt;&gt;")</f>
        <v>9</v>
      </c>
      <c r="G8" s="32">
        <f t="shared" si="0"/>
        <v>1</v>
      </c>
    </row>
    <row r="9" spans="2:7" ht="24" customHeight="1" x14ac:dyDescent="0.25">
      <c r="B9" s="33" t="s">
        <v>473</v>
      </c>
      <c r="C9" s="33">
        <f>COUNTIF('MATRIZ COMPLETA'!$C$4:$C$134,B9)</f>
        <v>6</v>
      </c>
      <c r="D9" s="33">
        <f>COUNTIFS('MATRIZ COMPLETA'!$C$4:$C$134,B9,'MATRIZ COMPLETA'!$E$4:$E$134,"&lt;&gt;")</f>
        <v>6</v>
      </c>
      <c r="E9" s="33">
        <f>COUNTIFS('MATRIZ COMPLETA'!$C$4:$C$134,B9,'MATRIZ COMPLETA'!$F$4:$F$134,"&lt;&gt;")</f>
        <v>6</v>
      </c>
      <c r="F9" s="33">
        <f>COUNTIFS('MATRIZ COMPLETA'!$C$4:$C$134,B9,'MATRIZ COMPLETA'!$H$4:$H$134,"&lt;&gt;")</f>
        <v>6</v>
      </c>
      <c r="G9" s="34">
        <f t="shared" si="0"/>
        <v>1</v>
      </c>
    </row>
    <row r="10" spans="2:7" ht="24" customHeight="1" x14ac:dyDescent="0.25">
      <c r="B10" s="35" t="s">
        <v>160</v>
      </c>
      <c r="C10" s="35">
        <f>COUNTIF('MATRIZ COMPLETA'!$C$4:$C$134,B10)</f>
        <v>8</v>
      </c>
      <c r="D10" s="35">
        <f>COUNTIFS('MATRIZ COMPLETA'!$C$4:$C$134,B10,'MATRIZ COMPLETA'!$E$4:$E$134,"&lt;&gt;")</f>
        <v>8</v>
      </c>
      <c r="E10" s="35">
        <f>COUNTIFS('MATRIZ COMPLETA'!$C$4:$C$134,B10,'MATRIZ COMPLETA'!$F$4:$F$134,"&lt;&gt;")</f>
        <v>8</v>
      </c>
      <c r="F10" s="35">
        <f>COUNTIFS('MATRIZ COMPLETA'!$C$4:$C$134,B10,'MATRIZ COMPLETA'!$H$4:$H$134,"&lt;&gt;")</f>
        <v>8</v>
      </c>
      <c r="G10" s="36">
        <f t="shared" si="0"/>
        <v>1</v>
      </c>
    </row>
    <row r="11" spans="2:7" ht="24" customHeight="1" x14ac:dyDescent="0.25">
      <c r="B11" s="37" t="s">
        <v>184</v>
      </c>
      <c r="C11" s="38">
        <f>COUNTIF('MATRIZ COMPLETA'!$C$4:$C$134,B11)</f>
        <v>7</v>
      </c>
      <c r="D11" s="38">
        <f>COUNTIFS('MATRIZ COMPLETA'!$C$4:$C$134,B11,'MATRIZ COMPLETA'!$E$4:$E$134,"&lt;&gt;")</f>
        <v>7</v>
      </c>
      <c r="E11" s="38">
        <f>COUNTIFS('MATRIZ COMPLETA'!$C$4:$C$134,B11,'MATRIZ COMPLETA'!$F$4:$F$134,"&lt;&gt;")</f>
        <v>7</v>
      </c>
      <c r="F11" s="38">
        <f>COUNTIFS('MATRIZ COMPLETA'!$C$4:$C$134,B11,'MATRIZ COMPLETA'!$H$4:$H$134,"&lt;&gt;")</f>
        <v>7</v>
      </c>
      <c r="G11" s="39">
        <f t="shared" si="0"/>
        <v>1</v>
      </c>
    </row>
    <row r="12" spans="2:7" ht="24" customHeight="1" x14ac:dyDescent="0.25">
      <c r="B12" s="40" t="s">
        <v>215</v>
      </c>
      <c r="C12" s="40">
        <f>COUNTIF('MATRIZ COMPLETA'!$C$4:$C$134,B12)</f>
        <v>4</v>
      </c>
      <c r="D12" s="40">
        <f>COUNTIFS('MATRIZ COMPLETA'!$C$4:$C$134,B12,'MATRIZ COMPLETA'!$E$4:$E$134,"&lt;&gt;")</f>
        <v>4</v>
      </c>
      <c r="E12" s="40">
        <f>COUNTIFS('MATRIZ COMPLETA'!$C$4:$C$134,B12,'MATRIZ COMPLETA'!$F$4:$F$134,"&lt;&gt;")</f>
        <v>4</v>
      </c>
      <c r="F12" s="40">
        <f>COUNTIFS('MATRIZ COMPLETA'!$C$4:$C$134,B12,'MATRIZ COMPLETA'!$H$4:$H$134,"&lt;&gt;")</f>
        <v>4</v>
      </c>
      <c r="G12" s="41">
        <f t="shared" si="0"/>
        <v>1</v>
      </c>
    </row>
    <row r="13" spans="2:7" ht="24" customHeight="1" x14ac:dyDescent="0.25">
      <c r="B13" s="27" t="s">
        <v>230</v>
      </c>
      <c r="C13" s="28">
        <f>COUNTIF('MATRIZ COMPLETA'!$C$4:$C$134,B13)</f>
        <v>11</v>
      </c>
      <c r="D13" s="28">
        <f>COUNTIFS('MATRIZ COMPLETA'!$C$4:$C$134,B13,'MATRIZ COMPLETA'!$E$4:$E$134,"&lt;&gt;")</f>
        <v>11</v>
      </c>
      <c r="E13" s="28">
        <f>COUNTIFS('MATRIZ COMPLETA'!$C$4:$C$134,B13,'MATRIZ COMPLETA'!$F$4:$F$134,"&lt;&gt;")</f>
        <v>11</v>
      </c>
      <c r="F13" s="28">
        <f>COUNTIFS('MATRIZ COMPLETA'!$C$4:$C$134,B13,'MATRIZ COMPLETA'!$H$4:$H$134,"&lt;&gt;")</f>
        <v>11</v>
      </c>
      <c r="G13" s="42">
        <f t="shared" si="0"/>
        <v>1</v>
      </c>
    </row>
    <row r="14" spans="2:7" ht="24" customHeight="1" x14ac:dyDescent="0.25">
      <c r="B14" s="30" t="s">
        <v>498</v>
      </c>
      <c r="C14" s="31">
        <f>COUNTIF('MATRIZ COMPLETA'!$C$4:$C$134,B14)</f>
        <v>5</v>
      </c>
      <c r="D14" s="31">
        <f>COUNTIFS('MATRIZ COMPLETA'!$C$4:$C$134,B14,'MATRIZ COMPLETA'!$E$4:$E$134,"&lt;&gt;")</f>
        <v>5</v>
      </c>
      <c r="E14" s="31">
        <f>COUNTIFS('MATRIZ COMPLETA'!$C$4:$C$134,B14,'MATRIZ COMPLETA'!$F$4:$F$134,"&lt;&gt;")</f>
        <v>5</v>
      </c>
      <c r="F14" s="31">
        <f>COUNTIFS('MATRIZ COMPLETA'!$C$4:$C$134,B14,'MATRIZ COMPLETA'!$H$4:$H$134,"&lt;&gt;")</f>
        <v>5</v>
      </c>
      <c r="G14" s="43">
        <f t="shared" si="0"/>
        <v>1</v>
      </c>
    </row>
    <row r="15" spans="2:7" ht="24" customHeight="1" x14ac:dyDescent="0.25">
      <c r="B15" s="27" t="s">
        <v>258</v>
      </c>
      <c r="C15" s="28">
        <f>COUNTIF('MATRIZ COMPLETA'!$C$4:$C$134,B15)</f>
        <v>11</v>
      </c>
      <c r="D15" s="28">
        <f>COUNTIFS('MATRIZ COMPLETA'!$C$4:$C$134,B15,'MATRIZ COMPLETA'!$E$4:$E$134,"&lt;&gt;")</f>
        <v>11</v>
      </c>
      <c r="E15" s="28">
        <f>COUNTIFS('MATRIZ COMPLETA'!$C$4:$C$134,B15,'MATRIZ COMPLETA'!$F$4:$F$134,"&lt;&gt;")</f>
        <v>11</v>
      </c>
      <c r="F15" s="28">
        <f>COUNTIFS('MATRIZ COMPLETA'!$C$4:$C$134,B15,'MATRIZ COMPLETA'!$H$4:$H$134,"&lt;&gt;")</f>
        <v>11</v>
      </c>
      <c r="G15" s="42">
        <f t="shared" si="0"/>
        <v>1</v>
      </c>
    </row>
    <row r="16" spans="2:7" ht="24" customHeight="1" x14ac:dyDescent="0.25">
      <c r="B16" s="30" t="s">
        <v>286</v>
      </c>
      <c r="C16" s="31">
        <f>COUNTIF('MATRIZ COMPLETA'!$C$4:$C$134,B16)</f>
        <v>8</v>
      </c>
      <c r="D16" s="31">
        <f>COUNTIFS('MATRIZ COMPLETA'!$C$4:$C$134,B16,'MATRIZ COMPLETA'!$E$4:$E$134,"&lt;&gt;")</f>
        <v>8</v>
      </c>
      <c r="E16" s="31">
        <f>COUNTIFS('MATRIZ COMPLETA'!$C$4:$C$134,B16,'MATRIZ COMPLETA'!$F$4:$F$134,"&lt;&gt;")</f>
        <v>8</v>
      </c>
      <c r="F16" s="31">
        <f>COUNTIFS('MATRIZ COMPLETA'!$C$4:$C$134,B16,'MATRIZ COMPLETA'!$H$4:$H$134,"&lt;&gt;")</f>
        <v>8</v>
      </c>
      <c r="G16" s="43">
        <f t="shared" si="0"/>
        <v>1</v>
      </c>
    </row>
    <row r="17" spans="2:7" ht="24" customHeight="1" x14ac:dyDescent="0.25">
      <c r="B17" s="27" t="s">
        <v>314</v>
      </c>
      <c r="C17" s="28">
        <f>COUNTIF('MATRIZ COMPLETA'!$C$4:$C$134,B17)</f>
        <v>9</v>
      </c>
      <c r="D17" s="28">
        <f>COUNTIFS('MATRIZ COMPLETA'!$C$4:$C$134,B17,'MATRIZ COMPLETA'!$E$4:$E$134,"&lt;&gt;")</f>
        <v>9</v>
      </c>
      <c r="E17" s="28">
        <f>COUNTIFS('MATRIZ COMPLETA'!$C$4:$C$134,B17,'MATRIZ COMPLETA'!$F$4:$F$134,"&lt;&gt;")</f>
        <v>9</v>
      </c>
      <c r="F17" s="28">
        <f>COUNTIFS('MATRIZ COMPLETA'!$C$4:$C$134,B17,'MATRIZ COMPLETA'!$H$4:$H$134,"&lt;&gt;")</f>
        <v>9</v>
      </c>
      <c r="G17" s="42">
        <f t="shared" si="0"/>
        <v>1</v>
      </c>
    </row>
    <row r="18" spans="2:7" ht="24" customHeight="1" x14ac:dyDescent="0.25">
      <c r="B18" s="35" t="s">
        <v>345</v>
      </c>
      <c r="C18" s="35">
        <f>COUNTIF('MATRIZ COMPLETA'!$C$4:$C$134,B18)</f>
        <v>8</v>
      </c>
      <c r="D18" s="35">
        <f>COUNTIFS('MATRIZ COMPLETA'!$C$4:$C$134,B18,'MATRIZ COMPLETA'!$E$4:$E$134,"&lt;&gt;")</f>
        <v>8</v>
      </c>
      <c r="E18" s="35">
        <f>COUNTIFS('MATRIZ COMPLETA'!$C$4:$C$134,B18,'MATRIZ COMPLETA'!$F$4:$F$134,"&lt;&gt;")</f>
        <v>8</v>
      </c>
      <c r="F18" s="35">
        <f>COUNTIFS('MATRIZ COMPLETA'!$C$4:$C$134,B18,'MATRIZ COMPLETA'!$H$4:$H$134,"&lt;&gt;")</f>
        <v>8</v>
      </c>
      <c r="G18" s="36">
        <f t="shared" si="0"/>
        <v>1</v>
      </c>
    </row>
    <row r="19" spans="2:7" ht="24" customHeight="1" x14ac:dyDescent="0.25">
      <c r="B19" s="38" t="s">
        <v>375</v>
      </c>
      <c r="C19" s="38">
        <f>COUNTIF('MATRIZ COMPLETA'!$C$4:$C$134,B19)</f>
        <v>8</v>
      </c>
      <c r="D19" s="38">
        <f>COUNTIFS('MATRIZ COMPLETA'!$C$4:$C$134,B19,'MATRIZ COMPLETA'!$E$4:$E$134,"&lt;&gt;")</f>
        <v>8</v>
      </c>
      <c r="E19" s="38">
        <f>COUNTIFS('MATRIZ COMPLETA'!$C$4:$C$134,B19,'MATRIZ COMPLETA'!$F$4:$F$134,"&lt;&gt;")</f>
        <v>8</v>
      </c>
      <c r="F19" s="38">
        <f>COUNTIFS('MATRIZ COMPLETA'!$C$4:$C$134,B19,'MATRIZ COMPLETA'!$H$4:$H$134,"&lt;&gt;")</f>
        <v>8</v>
      </c>
      <c r="G19" s="39">
        <f t="shared" si="0"/>
        <v>1</v>
      </c>
    </row>
    <row r="20" spans="2:7" ht="24" customHeight="1" x14ac:dyDescent="0.25">
      <c r="B20" s="35" t="s">
        <v>405</v>
      </c>
      <c r="C20" s="35">
        <f>COUNTIF('MATRIZ COMPLETA'!$C$4:$C$134,B20)</f>
        <v>7</v>
      </c>
      <c r="D20" s="35">
        <f>COUNTIFS('MATRIZ COMPLETA'!$C$4:$C$134,B20,'MATRIZ COMPLETA'!$E$4:$E$134,"&lt;&gt;")</f>
        <v>7</v>
      </c>
      <c r="E20" s="35">
        <f>COUNTIFS('MATRIZ COMPLETA'!$C$4:$C$134,B20,'MATRIZ COMPLETA'!$F$4:$F$134,"&lt;&gt;")</f>
        <v>7</v>
      </c>
      <c r="F20" s="35">
        <f>COUNTIFS('MATRIZ COMPLETA'!$C$4:$C$134,B20,'MATRIZ COMPLETA'!$H$4:$H$134,"&lt;&gt;")</f>
        <v>7</v>
      </c>
      <c r="G20" s="36">
        <f t="shared" si="0"/>
        <v>1</v>
      </c>
    </row>
    <row r="21" spans="2:7" ht="24" customHeight="1" x14ac:dyDescent="0.25">
      <c r="B21" s="38" t="s">
        <v>431</v>
      </c>
      <c r="C21" s="38">
        <f>COUNTIF('MATRIZ COMPLETA'!$C$4:$C$134,B21)</f>
        <v>9</v>
      </c>
      <c r="D21" s="38">
        <f>COUNTIFS('MATRIZ COMPLETA'!$C$4:$C$134,B21,'MATRIZ COMPLETA'!$E$4:$E$134,"&lt;&gt;")</f>
        <v>9</v>
      </c>
      <c r="E21" s="38">
        <f>COUNTIFS('MATRIZ COMPLETA'!$C$4:$C$134,B21,'MATRIZ COMPLETA'!$F$4:$F$134,"&lt;&gt;")</f>
        <v>9</v>
      </c>
      <c r="F21" s="38">
        <f>COUNTIFS('MATRIZ COMPLETA'!$C$4:$C$134,B21,'MATRIZ COMPLETA'!$H$4:$H$134,"&lt;&gt;")</f>
        <v>9</v>
      </c>
      <c r="G21" s="39">
        <f t="shared" si="0"/>
        <v>1</v>
      </c>
    </row>
    <row r="22" spans="2:7" ht="24" customHeight="1" x14ac:dyDescent="0.25">
      <c r="B22" s="25" t="s">
        <v>2098</v>
      </c>
      <c r="C22" s="25">
        <f>SUM(C5:C21)</f>
        <v>131</v>
      </c>
      <c r="D22" s="25">
        <f>SUM(D5:D21)</f>
        <v>131</v>
      </c>
      <c r="E22" s="25">
        <f>SUM(E5:E21)</f>
        <v>131</v>
      </c>
      <c r="F22" s="25">
        <f>SUM(F5:F21)</f>
        <v>131</v>
      </c>
      <c r="G22" s="26">
        <f t="shared" si="0"/>
        <v>1</v>
      </c>
    </row>
    <row r="25" spans="2:7" x14ac:dyDescent="0.25">
      <c r="B25" s="69" t="s">
        <v>2099</v>
      </c>
      <c r="C25" s="69"/>
      <c r="D25" s="69"/>
      <c r="E25" s="69" t="s">
        <v>2100</v>
      </c>
      <c r="F25" s="69"/>
      <c r="G25" s="69"/>
    </row>
    <row r="26" spans="2:7" ht="30" customHeight="1" x14ac:dyDescent="0.25">
      <c r="B26" s="21" t="s">
        <v>2101</v>
      </c>
      <c r="C26" s="21" t="s">
        <v>2102</v>
      </c>
      <c r="E26" s="21" t="s">
        <v>2103</v>
      </c>
      <c r="F26" s="21" t="s">
        <v>16</v>
      </c>
      <c r="G26" s="21" t="s">
        <v>2104</v>
      </c>
    </row>
    <row r="27" spans="2:7" ht="30" customHeight="1" x14ac:dyDescent="0.25">
      <c r="B27" s="23" t="s">
        <v>2093</v>
      </c>
      <c r="C27" s="23">
        <f>COUNTA('MATRIZ COMPLETA'!A4:A134)</f>
        <v>131</v>
      </c>
      <c r="E27" s="23" t="s">
        <v>2105</v>
      </c>
      <c r="F27" s="23" t="s">
        <v>1973</v>
      </c>
      <c r="G27" s="23" t="s">
        <v>2106</v>
      </c>
    </row>
    <row r="28" spans="2:7" ht="30" customHeight="1" x14ac:dyDescent="0.25">
      <c r="B28" s="23" t="s">
        <v>2107</v>
      </c>
      <c r="C28" s="23">
        <f>SUM(MÓDULOS!D4:D20)</f>
        <v>101</v>
      </c>
      <c r="E28" s="23" t="s">
        <v>2108</v>
      </c>
      <c r="F28" s="23" t="s">
        <v>1973</v>
      </c>
      <c r="G28" s="23" t="s">
        <v>2109</v>
      </c>
    </row>
    <row r="29" spans="2:7" ht="30" customHeight="1" x14ac:dyDescent="0.25">
      <c r="B29" s="23" t="s">
        <v>2110</v>
      </c>
      <c r="C29" s="23">
        <f>SUM(MÓDULOS!E4:E20)</f>
        <v>30</v>
      </c>
      <c r="E29" s="23" t="s">
        <v>2111</v>
      </c>
      <c r="F29" s="23" t="s">
        <v>21</v>
      </c>
      <c r="G29" s="23" t="s">
        <v>2112</v>
      </c>
    </row>
    <row r="30" spans="2:7" ht="30" customHeight="1" x14ac:dyDescent="0.25">
      <c r="B30" s="23" t="s">
        <v>2113</v>
      </c>
      <c r="C30" s="23">
        <f>COUNTA('MATRIZ COMPLETA'!E4:E134)</f>
        <v>131</v>
      </c>
      <c r="E30" s="23" t="s">
        <v>2114</v>
      </c>
      <c r="F30" s="23" t="s">
        <v>1973</v>
      </c>
      <c r="G30" s="23" t="s">
        <v>2115</v>
      </c>
    </row>
    <row r="31" spans="2:7" ht="30" customHeight="1" x14ac:dyDescent="0.25">
      <c r="B31" s="23" t="s">
        <v>2116</v>
      </c>
      <c r="C31" s="23">
        <f>COUNTA('CATÁLOGO RNF'!A4:A25)</f>
        <v>22</v>
      </c>
      <c r="E31" s="23" t="s">
        <v>2110</v>
      </c>
      <c r="F31" s="23" t="s">
        <v>23</v>
      </c>
      <c r="G31" s="23" t="s">
        <v>2117</v>
      </c>
    </row>
    <row r="32" spans="2:7" ht="30" customHeight="1" x14ac:dyDescent="0.25">
      <c r="B32" s="23" t="s">
        <v>2118</v>
      </c>
      <c r="C32" s="23">
        <f>COUNTA('RF → CP'!C4:C134)</f>
        <v>131</v>
      </c>
      <c r="E32" s="23" t="s">
        <v>2119</v>
      </c>
      <c r="F32" s="23" t="s">
        <v>25</v>
      </c>
      <c r="G32" s="23" t="s">
        <v>2120</v>
      </c>
    </row>
    <row r="33" spans="2:7" ht="30" customHeight="1" x14ac:dyDescent="0.25">
      <c r="B33" s="23" t="s">
        <v>2121</v>
      </c>
      <c r="C33" s="23">
        <f>COUNTA(MÓDULOS!A4:A20)</f>
        <v>17</v>
      </c>
      <c r="E33" s="23" t="s">
        <v>2122</v>
      </c>
      <c r="F33" s="23" t="s">
        <v>25</v>
      </c>
      <c r="G33" s="23" t="s">
        <v>2123</v>
      </c>
    </row>
    <row r="34" spans="2:7" ht="30" customHeight="1" x14ac:dyDescent="0.25">
      <c r="B34" s="23" t="s">
        <v>2124</v>
      </c>
      <c r="C34" s="23">
        <f>COUNTA('RF → BPMN'!A4:A134)</f>
        <v>131</v>
      </c>
      <c r="E34" s="23" t="s">
        <v>2125</v>
      </c>
      <c r="F34" s="23" t="s">
        <v>25</v>
      </c>
      <c r="G34" s="23" t="s">
        <v>2126</v>
      </c>
    </row>
    <row r="35" spans="2:7" ht="24" customHeight="1" x14ac:dyDescent="0.25">
      <c r="B35" s="23" t="s">
        <v>2127</v>
      </c>
      <c r="C35" s="24">
        <f>AVERAGE(G5:G21)</f>
        <v>1</v>
      </c>
    </row>
  </sheetData>
  <mergeCells count="4">
    <mergeCell ref="B2:G2"/>
    <mergeCell ref="B1:G1"/>
    <mergeCell ref="B25:D25"/>
    <mergeCell ref="E25:G25"/>
  </mergeCells>
  <conditionalFormatting sqref="F27:F34">
    <cfRule type="expression" dxfId="31" priority="1">
      <formula>$F27="✅ Verificado"</formula>
    </cfRule>
    <cfRule type="expression" dxfId="30" priority="2">
      <formula>$F27="✅ Trazado"</formula>
    </cfRule>
    <cfRule type="expression" dxfId="29" priority="3">
      <formula>$F27="✅ Documentado"</formula>
    </cfRule>
    <cfRule type="expression" dxfId="28" priority="4">
      <formula>$F27="🧪 Planificado"</formula>
    </cfRule>
    <cfRule type="expression" dxfId="27" priority="5">
      <formula>$F27="⚠ Validar brecha v2.0"</formula>
    </cfRule>
    <cfRule type="expression" dxfId="26" priority="6">
      <formula>$F27="⏳ Pendiente"</formula>
    </cfRule>
    <cfRule type="expression" dxfId="25" priority="7">
      <formula>$F27="🔄 En Progreso"</formula>
    </cfRule>
    <cfRule type="expression" dxfId="24" priority="8">
      <formula>$F27="❌ No Cumplido"</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4"/>
  <sheetViews>
    <sheetView workbookViewId="0"/>
  </sheetViews>
  <sheetFormatPr baseColWidth="10" defaultColWidth="9.140625" defaultRowHeight="15" x14ac:dyDescent="0.25"/>
  <cols>
    <col min="1" max="2" width="22" customWidth="1"/>
    <col min="3" max="3" width="32" customWidth="1"/>
    <col min="4" max="4" width="20" customWidth="1"/>
    <col min="5" max="5" width="42" customWidth="1"/>
    <col min="6" max="6" width="38" customWidth="1"/>
    <col min="7" max="8" width="24" customWidth="1"/>
    <col min="9" max="9" width="20" customWidth="1"/>
    <col min="10" max="10" width="50" customWidth="1"/>
  </cols>
  <sheetData>
    <row r="1" spans="1:10" ht="27.95" customHeight="1" x14ac:dyDescent="0.25">
      <c r="A1" s="66" t="s">
        <v>2128</v>
      </c>
      <c r="B1" s="66"/>
      <c r="C1" s="66"/>
      <c r="D1" s="66"/>
      <c r="E1" s="66"/>
      <c r="F1" s="66"/>
      <c r="G1" s="66"/>
      <c r="H1" s="66"/>
      <c r="I1" s="66"/>
      <c r="J1" s="66"/>
    </row>
    <row r="2" spans="1:10" ht="21.95" customHeight="1" x14ac:dyDescent="0.25">
      <c r="A2" s="57" t="s">
        <v>2129</v>
      </c>
      <c r="B2" s="57"/>
      <c r="C2" s="57"/>
      <c r="D2" s="57"/>
      <c r="E2" s="57"/>
      <c r="F2" s="57"/>
      <c r="G2" s="57"/>
      <c r="H2" s="57"/>
      <c r="I2" s="57"/>
      <c r="J2" s="57"/>
    </row>
    <row r="3" spans="1:10" ht="30" customHeight="1" x14ac:dyDescent="0.25">
      <c r="A3" s="21" t="s">
        <v>585</v>
      </c>
      <c r="B3" s="21" t="s">
        <v>2130</v>
      </c>
      <c r="C3" s="21" t="s">
        <v>1965</v>
      </c>
      <c r="D3" s="21" t="s">
        <v>2131</v>
      </c>
      <c r="E3" s="21" t="s">
        <v>2132</v>
      </c>
      <c r="F3" s="21" t="s">
        <v>2133</v>
      </c>
      <c r="G3" s="21" t="s">
        <v>2134</v>
      </c>
      <c r="H3" s="21" t="s">
        <v>2135</v>
      </c>
      <c r="I3" s="21" t="s">
        <v>16</v>
      </c>
      <c r="J3" s="21" t="s">
        <v>65</v>
      </c>
    </row>
    <row r="4" spans="1:10" ht="27.95" customHeight="1" x14ac:dyDescent="0.25">
      <c r="A4" s="20" t="s">
        <v>66</v>
      </c>
      <c r="B4" s="20" t="s">
        <v>69</v>
      </c>
      <c r="C4" s="20" t="s">
        <v>68</v>
      </c>
      <c r="D4" s="20" t="s">
        <v>2136</v>
      </c>
      <c r="E4" s="20" t="s">
        <v>2137</v>
      </c>
      <c r="F4" s="20" t="s">
        <v>67</v>
      </c>
      <c r="G4" s="20" t="s">
        <v>70</v>
      </c>
      <c r="H4" s="20" t="s">
        <v>2138</v>
      </c>
      <c r="I4" s="20" t="s">
        <v>2139</v>
      </c>
      <c r="J4" s="20" t="s">
        <v>2140</v>
      </c>
    </row>
    <row r="5" spans="1:10" ht="27.95" customHeight="1" x14ac:dyDescent="0.25">
      <c r="A5" s="20" t="s">
        <v>74</v>
      </c>
      <c r="B5" s="20" t="s">
        <v>76</v>
      </c>
      <c r="C5" s="20" t="s">
        <v>68</v>
      </c>
      <c r="D5" s="20" t="s">
        <v>2136</v>
      </c>
      <c r="E5" s="20" t="s">
        <v>2137</v>
      </c>
      <c r="F5" s="20" t="s">
        <v>75</v>
      </c>
      <c r="G5" s="20" t="s">
        <v>77</v>
      </c>
      <c r="H5" s="20" t="s">
        <v>2138</v>
      </c>
      <c r="I5" s="20" t="s">
        <v>2139</v>
      </c>
      <c r="J5" s="20" t="s">
        <v>2140</v>
      </c>
    </row>
    <row r="6" spans="1:10" ht="27.95" customHeight="1" x14ac:dyDescent="0.25">
      <c r="A6" s="20" t="s">
        <v>80</v>
      </c>
      <c r="B6" s="20" t="s">
        <v>82</v>
      </c>
      <c r="C6" s="20" t="s">
        <v>68</v>
      </c>
      <c r="D6" s="20" t="s">
        <v>2136</v>
      </c>
      <c r="E6" s="20" t="s">
        <v>2137</v>
      </c>
      <c r="F6" s="20" t="s">
        <v>81</v>
      </c>
      <c r="G6" s="20" t="s">
        <v>83</v>
      </c>
      <c r="H6" s="20" t="s">
        <v>2141</v>
      </c>
      <c r="I6" s="20" t="s">
        <v>2139</v>
      </c>
      <c r="J6" s="20" t="s">
        <v>2140</v>
      </c>
    </row>
    <row r="7" spans="1:10" ht="27.95" customHeight="1" x14ac:dyDescent="0.25">
      <c r="A7" s="20" t="s">
        <v>84</v>
      </c>
      <c r="B7" s="20" t="s">
        <v>86</v>
      </c>
      <c r="C7" s="20" t="s">
        <v>68</v>
      </c>
      <c r="D7" s="20" t="s">
        <v>2136</v>
      </c>
      <c r="E7" s="20" t="s">
        <v>2137</v>
      </c>
      <c r="F7" s="20" t="s">
        <v>85</v>
      </c>
      <c r="G7" s="20" t="s">
        <v>83</v>
      </c>
      <c r="H7" s="20" t="s">
        <v>2138</v>
      </c>
      <c r="I7" s="20" t="s">
        <v>2139</v>
      </c>
      <c r="J7" s="20" t="s">
        <v>2140</v>
      </c>
    </row>
    <row r="8" spans="1:10" ht="27.95" customHeight="1" x14ac:dyDescent="0.25">
      <c r="A8" s="20" t="s">
        <v>88</v>
      </c>
      <c r="B8" s="20" t="s">
        <v>90</v>
      </c>
      <c r="C8" s="20" t="s">
        <v>68</v>
      </c>
      <c r="D8" s="20" t="s">
        <v>2136</v>
      </c>
      <c r="E8" s="20" t="s">
        <v>2137</v>
      </c>
      <c r="F8" s="20" t="s">
        <v>89</v>
      </c>
      <c r="G8" s="20" t="s">
        <v>83</v>
      </c>
      <c r="H8" s="20" t="s">
        <v>2138</v>
      </c>
      <c r="I8" s="20" t="s">
        <v>2139</v>
      </c>
      <c r="J8" s="20" t="s">
        <v>2140</v>
      </c>
    </row>
    <row r="9" spans="1:10" ht="27.95" customHeight="1" x14ac:dyDescent="0.25">
      <c r="A9" s="20" t="s">
        <v>91</v>
      </c>
      <c r="B9" s="20" t="s">
        <v>93</v>
      </c>
      <c r="C9" s="20" t="s">
        <v>68</v>
      </c>
      <c r="D9" s="20" t="s">
        <v>2136</v>
      </c>
      <c r="E9" s="20" t="s">
        <v>2137</v>
      </c>
      <c r="F9" s="20" t="s">
        <v>92</v>
      </c>
      <c r="G9" s="20" t="s">
        <v>83</v>
      </c>
      <c r="H9" s="20" t="s">
        <v>2141</v>
      </c>
      <c r="I9" s="20" t="s">
        <v>2139</v>
      </c>
      <c r="J9" s="20" t="s">
        <v>2140</v>
      </c>
    </row>
    <row r="10" spans="1:10" ht="27.95" customHeight="1" x14ac:dyDescent="0.25">
      <c r="A10" s="20" t="s">
        <v>95</v>
      </c>
      <c r="B10" s="20" t="s">
        <v>97</v>
      </c>
      <c r="C10" s="20" t="s">
        <v>68</v>
      </c>
      <c r="D10" s="20" t="s">
        <v>2136</v>
      </c>
      <c r="E10" s="20" t="s">
        <v>2137</v>
      </c>
      <c r="F10" s="20" t="s">
        <v>96</v>
      </c>
      <c r="G10" s="20" t="s">
        <v>83</v>
      </c>
      <c r="H10" s="20" t="s">
        <v>2138</v>
      </c>
      <c r="I10" s="20" t="s">
        <v>2139</v>
      </c>
      <c r="J10" s="20" t="s">
        <v>2140</v>
      </c>
    </row>
    <row r="11" spans="1:10" ht="27.95" customHeight="1" x14ac:dyDescent="0.25">
      <c r="A11" s="20" t="s">
        <v>98</v>
      </c>
      <c r="B11" s="20" t="s">
        <v>100</v>
      </c>
      <c r="C11" s="20" t="s">
        <v>68</v>
      </c>
      <c r="D11" s="20" t="s">
        <v>2136</v>
      </c>
      <c r="E11" s="20" t="s">
        <v>2137</v>
      </c>
      <c r="F11" s="20" t="s">
        <v>99</v>
      </c>
      <c r="G11" s="20" t="s">
        <v>83</v>
      </c>
      <c r="H11" s="20" t="s">
        <v>2138</v>
      </c>
      <c r="I11" s="20" t="s">
        <v>2139</v>
      </c>
      <c r="J11" s="20" t="s">
        <v>2140</v>
      </c>
    </row>
    <row r="12" spans="1:10" ht="27.95" customHeight="1" x14ac:dyDescent="0.25">
      <c r="A12" s="20" t="s">
        <v>101</v>
      </c>
      <c r="B12" s="20" t="s">
        <v>103</v>
      </c>
      <c r="C12" s="20" t="s">
        <v>68</v>
      </c>
      <c r="D12" s="20" t="s">
        <v>2136</v>
      </c>
      <c r="E12" s="20" t="s">
        <v>2137</v>
      </c>
      <c r="F12" s="20" t="s">
        <v>102</v>
      </c>
      <c r="G12" s="20" t="s">
        <v>77</v>
      </c>
      <c r="H12" s="20" t="s">
        <v>2142</v>
      </c>
      <c r="I12" s="20" t="s">
        <v>2139</v>
      </c>
      <c r="J12" s="20" t="s">
        <v>2140</v>
      </c>
    </row>
    <row r="13" spans="1:10" ht="27.95" customHeight="1" x14ac:dyDescent="0.25">
      <c r="A13" s="20" t="s">
        <v>105</v>
      </c>
      <c r="B13" s="20" t="s">
        <v>108</v>
      </c>
      <c r="C13" s="20" t="s">
        <v>107</v>
      </c>
      <c r="D13" s="20" t="s">
        <v>2143</v>
      </c>
      <c r="E13" s="20" t="s">
        <v>2144</v>
      </c>
      <c r="F13" s="20" t="s">
        <v>106</v>
      </c>
      <c r="G13" s="20" t="s">
        <v>83</v>
      </c>
      <c r="H13" s="20" t="s">
        <v>2138</v>
      </c>
      <c r="I13" s="20" t="s">
        <v>2139</v>
      </c>
      <c r="J13" s="20" t="s">
        <v>2140</v>
      </c>
    </row>
    <row r="14" spans="1:10" ht="27.95" customHeight="1" x14ac:dyDescent="0.25">
      <c r="A14" s="20" t="s">
        <v>109</v>
      </c>
      <c r="B14" s="20" t="s">
        <v>111</v>
      </c>
      <c r="C14" s="20" t="s">
        <v>107</v>
      </c>
      <c r="D14" s="20" t="s">
        <v>2143</v>
      </c>
      <c r="E14" s="20" t="s">
        <v>2144</v>
      </c>
      <c r="F14" s="20" t="s">
        <v>110</v>
      </c>
      <c r="G14" s="20" t="s">
        <v>83</v>
      </c>
      <c r="H14" s="20" t="s">
        <v>2138</v>
      </c>
      <c r="I14" s="20" t="s">
        <v>2139</v>
      </c>
      <c r="J14" s="20" t="s">
        <v>2140</v>
      </c>
    </row>
    <row r="15" spans="1:10" ht="27.95" customHeight="1" x14ac:dyDescent="0.25">
      <c r="A15" s="20" t="s">
        <v>112</v>
      </c>
      <c r="B15" s="20" t="s">
        <v>114</v>
      </c>
      <c r="C15" s="20" t="s">
        <v>107</v>
      </c>
      <c r="D15" s="20" t="s">
        <v>2143</v>
      </c>
      <c r="E15" s="20" t="s">
        <v>2144</v>
      </c>
      <c r="F15" s="20" t="s">
        <v>113</v>
      </c>
      <c r="G15" s="20" t="s">
        <v>83</v>
      </c>
      <c r="H15" s="20" t="s">
        <v>2138</v>
      </c>
      <c r="I15" s="20" t="s">
        <v>2139</v>
      </c>
      <c r="J15" s="20" t="s">
        <v>2140</v>
      </c>
    </row>
    <row r="16" spans="1:10" ht="27.95" customHeight="1" x14ac:dyDescent="0.25">
      <c r="A16" s="20" t="s">
        <v>116</v>
      </c>
      <c r="B16" s="20" t="s">
        <v>118</v>
      </c>
      <c r="C16" s="20" t="s">
        <v>107</v>
      </c>
      <c r="D16" s="20" t="s">
        <v>2143</v>
      </c>
      <c r="E16" s="20" t="s">
        <v>2144</v>
      </c>
      <c r="F16" s="20" t="s">
        <v>117</v>
      </c>
      <c r="G16" s="20" t="s">
        <v>83</v>
      </c>
      <c r="H16" s="20" t="s">
        <v>2138</v>
      </c>
      <c r="I16" s="20" t="s">
        <v>2139</v>
      </c>
      <c r="J16" s="20" t="s">
        <v>2140</v>
      </c>
    </row>
    <row r="17" spans="1:10" ht="27.95" customHeight="1" x14ac:dyDescent="0.25">
      <c r="A17" s="20" t="s">
        <v>119</v>
      </c>
      <c r="B17" s="20" t="s">
        <v>121</v>
      </c>
      <c r="C17" s="20" t="s">
        <v>107</v>
      </c>
      <c r="D17" s="20" t="s">
        <v>2143</v>
      </c>
      <c r="E17" s="20" t="s">
        <v>2144</v>
      </c>
      <c r="F17" s="20" t="s">
        <v>120</v>
      </c>
      <c r="G17" s="20" t="s">
        <v>122</v>
      </c>
      <c r="H17" s="20" t="s">
        <v>2141</v>
      </c>
      <c r="I17" s="20" t="s">
        <v>2139</v>
      </c>
      <c r="J17" s="20" t="s">
        <v>2140</v>
      </c>
    </row>
    <row r="18" spans="1:10" ht="27.95" customHeight="1" x14ac:dyDescent="0.25">
      <c r="A18" s="20" t="s">
        <v>124</v>
      </c>
      <c r="B18" s="20" t="s">
        <v>127</v>
      </c>
      <c r="C18" s="20" t="s">
        <v>126</v>
      </c>
      <c r="D18" s="20" t="s">
        <v>2145</v>
      </c>
      <c r="E18" s="20" t="s">
        <v>2146</v>
      </c>
      <c r="F18" s="20" t="s">
        <v>125</v>
      </c>
      <c r="G18" s="20" t="s">
        <v>128</v>
      </c>
      <c r="H18" s="20" t="s">
        <v>2138</v>
      </c>
      <c r="I18" s="20" t="s">
        <v>2139</v>
      </c>
      <c r="J18" s="20" t="s">
        <v>2140</v>
      </c>
    </row>
    <row r="19" spans="1:10" ht="27.95" customHeight="1" x14ac:dyDescent="0.25">
      <c r="A19" s="20" t="s">
        <v>129</v>
      </c>
      <c r="B19" s="20" t="s">
        <v>131</v>
      </c>
      <c r="C19" s="20" t="s">
        <v>126</v>
      </c>
      <c r="D19" s="20" t="s">
        <v>2145</v>
      </c>
      <c r="E19" s="20" t="s">
        <v>2146</v>
      </c>
      <c r="F19" s="20" t="s">
        <v>130</v>
      </c>
      <c r="G19" s="20" t="s">
        <v>128</v>
      </c>
      <c r="H19" s="20" t="s">
        <v>2138</v>
      </c>
      <c r="I19" s="20" t="s">
        <v>2139</v>
      </c>
      <c r="J19" s="20" t="s">
        <v>2140</v>
      </c>
    </row>
    <row r="20" spans="1:10" ht="27.95" customHeight="1" x14ac:dyDescent="0.25">
      <c r="A20" s="20" t="s">
        <v>133</v>
      </c>
      <c r="B20" s="20" t="s">
        <v>135</v>
      </c>
      <c r="C20" s="20" t="s">
        <v>126</v>
      </c>
      <c r="D20" s="20" t="s">
        <v>2145</v>
      </c>
      <c r="E20" s="20" t="s">
        <v>2146</v>
      </c>
      <c r="F20" s="20" t="s">
        <v>134</v>
      </c>
      <c r="G20" s="20" t="s">
        <v>128</v>
      </c>
      <c r="H20" s="20" t="s">
        <v>2138</v>
      </c>
      <c r="I20" s="20" t="s">
        <v>2139</v>
      </c>
      <c r="J20" s="20" t="s">
        <v>2140</v>
      </c>
    </row>
    <row r="21" spans="1:10" ht="27.95" customHeight="1" x14ac:dyDescent="0.25">
      <c r="A21" s="20" t="s">
        <v>137</v>
      </c>
      <c r="B21" s="20" t="s">
        <v>139</v>
      </c>
      <c r="C21" s="20" t="s">
        <v>126</v>
      </c>
      <c r="D21" s="20" t="s">
        <v>2145</v>
      </c>
      <c r="E21" s="20" t="s">
        <v>2146</v>
      </c>
      <c r="F21" s="20" t="s">
        <v>138</v>
      </c>
      <c r="G21" s="20" t="s">
        <v>128</v>
      </c>
      <c r="H21" s="20" t="s">
        <v>2138</v>
      </c>
      <c r="I21" s="20" t="s">
        <v>2139</v>
      </c>
      <c r="J21" s="20" t="s">
        <v>2140</v>
      </c>
    </row>
    <row r="22" spans="1:10" ht="27.95" customHeight="1" x14ac:dyDescent="0.25">
      <c r="A22" s="20" t="s">
        <v>140</v>
      </c>
      <c r="B22" s="20" t="s">
        <v>142</v>
      </c>
      <c r="C22" s="20" t="s">
        <v>126</v>
      </c>
      <c r="D22" s="20" t="s">
        <v>2145</v>
      </c>
      <c r="E22" s="20" t="s">
        <v>2146</v>
      </c>
      <c r="F22" s="20" t="s">
        <v>141</v>
      </c>
      <c r="G22" s="20" t="s">
        <v>143</v>
      </c>
      <c r="H22" s="20" t="s">
        <v>2138</v>
      </c>
      <c r="I22" s="20" t="s">
        <v>2139</v>
      </c>
      <c r="J22" s="20" t="s">
        <v>2140</v>
      </c>
    </row>
    <row r="23" spans="1:10" ht="27.95" customHeight="1" x14ac:dyDescent="0.25">
      <c r="A23" s="20" t="s">
        <v>144</v>
      </c>
      <c r="B23" s="20" t="s">
        <v>146</v>
      </c>
      <c r="C23" s="20" t="s">
        <v>126</v>
      </c>
      <c r="D23" s="20" t="s">
        <v>2145</v>
      </c>
      <c r="E23" s="20" t="s">
        <v>2146</v>
      </c>
      <c r="F23" s="20" t="s">
        <v>145</v>
      </c>
      <c r="G23" s="20" t="s">
        <v>143</v>
      </c>
      <c r="H23" s="20" t="s">
        <v>2138</v>
      </c>
      <c r="I23" s="20" t="s">
        <v>2139</v>
      </c>
      <c r="J23" s="20" t="s">
        <v>2140</v>
      </c>
    </row>
    <row r="24" spans="1:10" ht="27.95" customHeight="1" x14ac:dyDescent="0.25">
      <c r="A24" s="20" t="s">
        <v>148</v>
      </c>
      <c r="B24" s="20" t="s">
        <v>150</v>
      </c>
      <c r="C24" s="20" t="s">
        <v>126</v>
      </c>
      <c r="D24" s="20" t="s">
        <v>2145</v>
      </c>
      <c r="E24" s="20" t="s">
        <v>2146</v>
      </c>
      <c r="F24" s="20" t="s">
        <v>149</v>
      </c>
      <c r="G24" s="20" t="s">
        <v>151</v>
      </c>
      <c r="H24" s="20" t="s">
        <v>2138</v>
      </c>
      <c r="I24" s="20" t="s">
        <v>2139</v>
      </c>
      <c r="J24" s="20" t="s">
        <v>2140</v>
      </c>
    </row>
    <row r="25" spans="1:10" ht="27.95" customHeight="1" x14ac:dyDescent="0.25">
      <c r="A25" s="20" t="s">
        <v>152</v>
      </c>
      <c r="B25" s="20" t="s">
        <v>154</v>
      </c>
      <c r="C25" s="20" t="s">
        <v>126</v>
      </c>
      <c r="D25" s="20" t="s">
        <v>2145</v>
      </c>
      <c r="E25" s="20" t="s">
        <v>2146</v>
      </c>
      <c r="F25" s="20" t="s">
        <v>153</v>
      </c>
      <c r="G25" s="20" t="s">
        <v>128</v>
      </c>
      <c r="H25" s="20" t="s">
        <v>2142</v>
      </c>
      <c r="I25" s="20" t="s">
        <v>2139</v>
      </c>
      <c r="J25" s="20" t="s">
        <v>2140</v>
      </c>
    </row>
    <row r="26" spans="1:10" ht="27.95" customHeight="1" x14ac:dyDescent="0.25">
      <c r="A26" s="20" t="s">
        <v>155</v>
      </c>
      <c r="B26" s="20" t="s">
        <v>157</v>
      </c>
      <c r="C26" s="20" t="s">
        <v>126</v>
      </c>
      <c r="D26" s="20" t="s">
        <v>2145</v>
      </c>
      <c r="E26" s="20" t="s">
        <v>2146</v>
      </c>
      <c r="F26" s="20" t="s">
        <v>156</v>
      </c>
      <c r="G26" s="20" t="s">
        <v>83</v>
      </c>
      <c r="H26" s="20" t="s">
        <v>2138</v>
      </c>
      <c r="I26" s="20" t="s">
        <v>2139</v>
      </c>
      <c r="J26" s="20" t="s">
        <v>2140</v>
      </c>
    </row>
    <row r="27" spans="1:10" ht="27.95" customHeight="1" x14ac:dyDescent="0.25">
      <c r="A27" s="20" t="s">
        <v>158</v>
      </c>
      <c r="B27" s="20" t="s">
        <v>161</v>
      </c>
      <c r="C27" s="20" t="s">
        <v>160</v>
      </c>
      <c r="D27" s="20" t="s">
        <v>2147</v>
      </c>
      <c r="E27" s="20" t="s">
        <v>2148</v>
      </c>
      <c r="F27" s="20" t="s">
        <v>159</v>
      </c>
      <c r="G27" s="20" t="s">
        <v>143</v>
      </c>
      <c r="H27" s="20" t="s">
        <v>2138</v>
      </c>
      <c r="I27" s="20" t="s">
        <v>2139</v>
      </c>
      <c r="J27" s="20" t="s">
        <v>2140</v>
      </c>
    </row>
    <row r="28" spans="1:10" ht="27.95" customHeight="1" x14ac:dyDescent="0.25">
      <c r="A28" s="20" t="s">
        <v>163</v>
      </c>
      <c r="B28" s="20" t="s">
        <v>165</v>
      </c>
      <c r="C28" s="20" t="s">
        <v>160</v>
      </c>
      <c r="D28" s="20" t="s">
        <v>2147</v>
      </c>
      <c r="E28" s="20" t="s">
        <v>2148</v>
      </c>
      <c r="F28" s="20" t="s">
        <v>164</v>
      </c>
      <c r="G28" s="20" t="s">
        <v>143</v>
      </c>
      <c r="H28" s="20" t="s">
        <v>2138</v>
      </c>
      <c r="I28" s="20" t="s">
        <v>2139</v>
      </c>
      <c r="J28" s="20" t="s">
        <v>2140</v>
      </c>
    </row>
    <row r="29" spans="1:10" ht="27.95" customHeight="1" x14ac:dyDescent="0.25">
      <c r="A29" s="20" t="s">
        <v>167</v>
      </c>
      <c r="B29" s="20" t="s">
        <v>169</v>
      </c>
      <c r="C29" s="20" t="s">
        <v>160</v>
      </c>
      <c r="D29" s="20" t="s">
        <v>2147</v>
      </c>
      <c r="E29" s="20" t="s">
        <v>2148</v>
      </c>
      <c r="F29" s="20" t="s">
        <v>168</v>
      </c>
      <c r="G29" s="20" t="s">
        <v>143</v>
      </c>
      <c r="H29" s="20" t="s">
        <v>2138</v>
      </c>
      <c r="I29" s="20" t="s">
        <v>2139</v>
      </c>
      <c r="J29" s="20" t="s">
        <v>2140</v>
      </c>
    </row>
    <row r="30" spans="1:10" ht="27.95" customHeight="1" x14ac:dyDescent="0.25">
      <c r="A30" s="20" t="s">
        <v>171</v>
      </c>
      <c r="B30" s="20" t="s">
        <v>173</v>
      </c>
      <c r="C30" s="20" t="s">
        <v>160</v>
      </c>
      <c r="D30" s="20" t="s">
        <v>2147</v>
      </c>
      <c r="E30" s="20" t="s">
        <v>2148</v>
      </c>
      <c r="F30" s="20" t="s">
        <v>172</v>
      </c>
      <c r="G30" s="20" t="s">
        <v>143</v>
      </c>
      <c r="H30" s="20" t="s">
        <v>2138</v>
      </c>
      <c r="I30" s="20" t="s">
        <v>2139</v>
      </c>
      <c r="J30" s="20" t="s">
        <v>2140</v>
      </c>
    </row>
    <row r="31" spans="1:10" ht="27.95" customHeight="1" x14ac:dyDescent="0.25">
      <c r="A31" s="20" t="s">
        <v>174</v>
      </c>
      <c r="B31" s="20" t="s">
        <v>176</v>
      </c>
      <c r="C31" s="20" t="s">
        <v>160</v>
      </c>
      <c r="D31" s="20" t="s">
        <v>2147</v>
      </c>
      <c r="E31" s="20" t="s">
        <v>2148</v>
      </c>
      <c r="F31" s="20" t="s">
        <v>175</v>
      </c>
      <c r="G31" s="20" t="s">
        <v>143</v>
      </c>
      <c r="H31" s="20" t="s">
        <v>2138</v>
      </c>
      <c r="I31" s="20" t="s">
        <v>2139</v>
      </c>
      <c r="J31" s="20" t="s">
        <v>2140</v>
      </c>
    </row>
    <row r="32" spans="1:10" ht="27.95" customHeight="1" x14ac:dyDescent="0.25">
      <c r="A32" s="20" t="s">
        <v>178</v>
      </c>
      <c r="B32" s="20" t="s">
        <v>180</v>
      </c>
      <c r="C32" s="20" t="s">
        <v>160</v>
      </c>
      <c r="D32" s="20" t="s">
        <v>2147</v>
      </c>
      <c r="E32" s="20" t="s">
        <v>2148</v>
      </c>
      <c r="F32" s="20" t="s">
        <v>179</v>
      </c>
      <c r="G32" s="20" t="s">
        <v>151</v>
      </c>
      <c r="H32" s="20" t="s">
        <v>2138</v>
      </c>
      <c r="I32" s="20" t="s">
        <v>2139</v>
      </c>
      <c r="J32" s="20" t="s">
        <v>2140</v>
      </c>
    </row>
    <row r="33" spans="1:10" ht="27.95" customHeight="1" x14ac:dyDescent="0.25">
      <c r="A33" s="20" t="s">
        <v>182</v>
      </c>
      <c r="B33" s="20" t="s">
        <v>185</v>
      </c>
      <c r="C33" s="20" t="s">
        <v>184</v>
      </c>
      <c r="D33" s="20" t="s">
        <v>2149</v>
      </c>
      <c r="E33" s="20" t="s">
        <v>2150</v>
      </c>
      <c r="F33" s="20" t="s">
        <v>183</v>
      </c>
      <c r="G33" s="20" t="s">
        <v>186</v>
      </c>
      <c r="H33" s="20" t="s">
        <v>2138</v>
      </c>
      <c r="I33" s="20" t="s">
        <v>2139</v>
      </c>
      <c r="J33" s="20" t="s">
        <v>2140</v>
      </c>
    </row>
    <row r="34" spans="1:10" ht="27.95" customHeight="1" x14ac:dyDescent="0.25">
      <c r="A34" s="20" t="s">
        <v>188</v>
      </c>
      <c r="B34" s="20" t="s">
        <v>190</v>
      </c>
      <c r="C34" s="20" t="s">
        <v>184</v>
      </c>
      <c r="D34" s="20" t="s">
        <v>2149</v>
      </c>
      <c r="E34" s="20" t="s">
        <v>2150</v>
      </c>
      <c r="F34" s="20" t="s">
        <v>189</v>
      </c>
      <c r="G34" s="20" t="s">
        <v>186</v>
      </c>
      <c r="H34" s="20" t="s">
        <v>2138</v>
      </c>
      <c r="I34" s="20" t="s">
        <v>2139</v>
      </c>
      <c r="J34" s="20" t="s">
        <v>2140</v>
      </c>
    </row>
    <row r="35" spans="1:10" ht="27.95" customHeight="1" x14ac:dyDescent="0.25">
      <c r="A35" s="20" t="s">
        <v>192</v>
      </c>
      <c r="B35" s="20" t="s">
        <v>194</v>
      </c>
      <c r="C35" s="20" t="s">
        <v>184</v>
      </c>
      <c r="D35" s="20" t="s">
        <v>2149</v>
      </c>
      <c r="E35" s="20" t="s">
        <v>2150</v>
      </c>
      <c r="F35" s="20" t="s">
        <v>193</v>
      </c>
      <c r="G35" s="20" t="s">
        <v>186</v>
      </c>
      <c r="H35" s="20" t="s">
        <v>2138</v>
      </c>
      <c r="I35" s="20" t="s">
        <v>2139</v>
      </c>
      <c r="J35" s="20" t="s">
        <v>2140</v>
      </c>
    </row>
    <row r="36" spans="1:10" ht="27.95" customHeight="1" x14ac:dyDescent="0.25">
      <c r="A36" s="20" t="s">
        <v>195</v>
      </c>
      <c r="B36" s="20" t="s">
        <v>197</v>
      </c>
      <c r="C36" s="20" t="s">
        <v>184</v>
      </c>
      <c r="D36" s="20" t="s">
        <v>2149</v>
      </c>
      <c r="E36" s="20" t="s">
        <v>2150</v>
      </c>
      <c r="F36" s="20" t="s">
        <v>196</v>
      </c>
      <c r="G36" s="20" t="s">
        <v>198</v>
      </c>
      <c r="H36" s="20" t="s">
        <v>2142</v>
      </c>
      <c r="I36" s="20" t="s">
        <v>2139</v>
      </c>
      <c r="J36" s="20" t="s">
        <v>2140</v>
      </c>
    </row>
    <row r="37" spans="1:10" ht="27.95" customHeight="1" x14ac:dyDescent="0.25">
      <c r="A37" s="20" t="s">
        <v>200</v>
      </c>
      <c r="B37" s="20" t="s">
        <v>202</v>
      </c>
      <c r="C37" s="20" t="s">
        <v>184</v>
      </c>
      <c r="D37" s="20" t="s">
        <v>2149</v>
      </c>
      <c r="E37" s="20" t="s">
        <v>2150</v>
      </c>
      <c r="F37" s="20" t="s">
        <v>201</v>
      </c>
      <c r="G37" s="20" t="s">
        <v>203</v>
      </c>
      <c r="H37" s="20" t="s">
        <v>2138</v>
      </c>
      <c r="I37" s="20" t="s">
        <v>2139</v>
      </c>
      <c r="J37" s="20" t="s">
        <v>2140</v>
      </c>
    </row>
    <row r="38" spans="1:10" ht="27.95" customHeight="1" x14ac:dyDescent="0.25">
      <c r="A38" s="20" t="s">
        <v>204</v>
      </c>
      <c r="B38" s="20" t="s">
        <v>206</v>
      </c>
      <c r="C38" s="20" t="s">
        <v>184</v>
      </c>
      <c r="D38" s="20" t="s">
        <v>2149</v>
      </c>
      <c r="E38" s="20" t="s">
        <v>2150</v>
      </c>
      <c r="F38" s="20" t="s">
        <v>205</v>
      </c>
      <c r="G38" s="20" t="s">
        <v>198</v>
      </c>
      <c r="H38" s="20" t="s">
        <v>2142</v>
      </c>
      <c r="I38" s="20" t="s">
        <v>2139</v>
      </c>
      <c r="J38" s="20" t="s">
        <v>2140</v>
      </c>
    </row>
    <row r="39" spans="1:10" ht="27.95" customHeight="1" x14ac:dyDescent="0.25">
      <c r="A39" s="20" t="s">
        <v>208</v>
      </c>
      <c r="B39" s="20" t="s">
        <v>210</v>
      </c>
      <c r="C39" s="20" t="s">
        <v>184</v>
      </c>
      <c r="D39" s="20" t="s">
        <v>2149</v>
      </c>
      <c r="E39" s="20" t="s">
        <v>2150</v>
      </c>
      <c r="F39" s="20" t="s">
        <v>209</v>
      </c>
      <c r="G39" s="20" t="s">
        <v>211</v>
      </c>
      <c r="H39" s="20" t="s">
        <v>2142</v>
      </c>
      <c r="I39" s="20" t="s">
        <v>2139</v>
      </c>
      <c r="J39" s="20" t="s">
        <v>2140</v>
      </c>
    </row>
    <row r="40" spans="1:10" ht="27.95" customHeight="1" x14ac:dyDescent="0.25">
      <c r="A40" s="20" t="s">
        <v>213</v>
      </c>
      <c r="B40" s="20" t="s">
        <v>216</v>
      </c>
      <c r="C40" s="20" t="s">
        <v>215</v>
      </c>
      <c r="D40" s="20" t="s">
        <v>2151</v>
      </c>
      <c r="E40" s="20" t="s">
        <v>2152</v>
      </c>
      <c r="F40" s="20" t="s">
        <v>214</v>
      </c>
      <c r="G40" s="20" t="s">
        <v>198</v>
      </c>
      <c r="H40" s="20" t="s">
        <v>2142</v>
      </c>
      <c r="I40" s="20" t="s">
        <v>2139</v>
      </c>
      <c r="J40" s="20" t="s">
        <v>2140</v>
      </c>
    </row>
    <row r="41" spans="1:10" ht="27.95" customHeight="1" x14ac:dyDescent="0.25">
      <c r="A41" s="20" t="s">
        <v>217</v>
      </c>
      <c r="B41" s="20" t="s">
        <v>219</v>
      </c>
      <c r="C41" s="20" t="s">
        <v>215</v>
      </c>
      <c r="D41" s="20" t="s">
        <v>2151</v>
      </c>
      <c r="E41" s="20" t="s">
        <v>2152</v>
      </c>
      <c r="F41" s="20" t="s">
        <v>218</v>
      </c>
      <c r="G41" s="20" t="s">
        <v>198</v>
      </c>
      <c r="H41" s="20" t="s">
        <v>2142</v>
      </c>
      <c r="I41" s="20" t="s">
        <v>2139</v>
      </c>
      <c r="J41" s="20" t="s">
        <v>2140</v>
      </c>
    </row>
    <row r="42" spans="1:10" ht="27.95" customHeight="1" x14ac:dyDescent="0.25">
      <c r="A42" s="20" t="s">
        <v>221</v>
      </c>
      <c r="B42" s="20" t="s">
        <v>223</v>
      </c>
      <c r="C42" s="20" t="s">
        <v>215</v>
      </c>
      <c r="D42" s="20" t="s">
        <v>2151</v>
      </c>
      <c r="E42" s="20" t="s">
        <v>2152</v>
      </c>
      <c r="F42" s="20" t="s">
        <v>222</v>
      </c>
      <c r="G42" s="20" t="s">
        <v>224</v>
      </c>
      <c r="H42" s="20" t="s">
        <v>2138</v>
      </c>
      <c r="I42" s="20" t="s">
        <v>2139</v>
      </c>
      <c r="J42" s="20" t="s">
        <v>2140</v>
      </c>
    </row>
    <row r="43" spans="1:10" ht="27.95" customHeight="1" x14ac:dyDescent="0.25">
      <c r="A43" s="20" t="s">
        <v>225</v>
      </c>
      <c r="B43" s="20" t="s">
        <v>227</v>
      </c>
      <c r="C43" s="20" t="s">
        <v>215</v>
      </c>
      <c r="D43" s="20" t="s">
        <v>2151</v>
      </c>
      <c r="E43" s="20" t="s">
        <v>2152</v>
      </c>
      <c r="F43" s="20" t="s">
        <v>226</v>
      </c>
      <c r="G43" s="20" t="s">
        <v>224</v>
      </c>
      <c r="H43" s="20" t="s">
        <v>2138</v>
      </c>
      <c r="I43" s="20" t="s">
        <v>2139</v>
      </c>
      <c r="J43" s="20" t="s">
        <v>2140</v>
      </c>
    </row>
    <row r="44" spans="1:10" ht="27.95" customHeight="1" x14ac:dyDescent="0.25">
      <c r="A44" s="20" t="s">
        <v>228</v>
      </c>
      <c r="B44" s="20" t="s">
        <v>231</v>
      </c>
      <c r="C44" s="20" t="s">
        <v>230</v>
      </c>
      <c r="D44" s="20" t="s">
        <v>2153</v>
      </c>
      <c r="E44" s="20" t="s">
        <v>2154</v>
      </c>
      <c r="F44" s="20" t="s">
        <v>229</v>
      </c>
      <c r="G44" s="20" t="s">
        <v>224</v>
      </c>
      <c r="H44" s="20" t="s">
        <v>2138</v>
      </c>
      <c r="I44" s="20" t="s">
        <v>2139</v>
      </c>
      <c r="J44" s="20" t="s">
        <v>2140</v>
      </c>
    </row>
    <row r="45" spans="1:10" ht="27.95" customHeight="1" x14ac:dyDescent="0.25">
      <c r="A45" s="20" t="s">
        <v>232</v>
      </c>
      <c r="B45" s="20" t="s">
        <v>234</v>
      </c>
      <c r="C45" s="20" t="s">
        <v>230</v>
      </c>
      <c r="D45" s="20" t="s">
        <v>2153</v>
      </c>
      <c r="E45" s="20" t="s">
        <v>2154</v>
      </c>
      <c r="F45" s="20" t="s">
        <v>233</v>
      </c>
      <c r="G45" s="20" t="s">
        <v>224</v>
      </c>
      <c r="H45" s="20" t="s">
        <v>2138</v>
      </c>
      <c r="I45" s="20" t="s">
        <v>2139</v>
      </c>
      <c r="J45" s="20" t="s">
        <v>2140</v>
      </c>
    </row>
    <row r="46" spans="1:10" ht="27.95" customHeight="1" x14ac:dyDescent="0.25">
      <c r="A46" s="20" t="s">
        <v>236</v>
      </c>
      <c r="B46" s="20" t="s">
        <v>238</v>
      </c>
      <c r="C46" s="20" t="s">
        <v>230</v>
      </c>
      <c r="D46" s="20" t="s">
        <v>2153</v>
      </c>
      <c r="E46" s="20" t="s">
        <v>2154</v>
      </c>
      <c r="F46" s="20" t="s">
        <v>237</v>
      </c>
      <c r="G46" s="20" t="s">
        <v>239</v>
      </c>
      <c r="H46" s="20" t="s">
        <v>2138</v>
      </c>
      <c r="I46" s="20" t="s">
        <v>2139</v>
      </c>
      <c r="J46" s="20" t="s">
        <v>2140</v>
      </c>
    </row>
    <row r="47" spans="1:10" ht="27.95" customHeight="1" x14ac:dyDescent="0.25">
      <c r="A47" s="20" t="s">
        <v>240</v>
      </c>
      <c r="B47" s="20" t="s">
        <v>242</v>
      </c>
      <c r="C47" s="20" t="s">
        <v>230</v>
      </c>
      <c r="D47" s="20" t="s">
        <v>2153</v>
      </c>
      <c r="E47" s="20" t="s">
        <v>2154</v>
      </c>
      <c r="F47" s="20" t="s">
        <v>241</v>
      </c>
      <c r="G47" s="20" t="s">
        <v>224</v>
      </c>
      <c r="H47" s="20" t="s">
        <v>2138</v>
      </c>
      <c r="I47" s="20" t="s">
        <v>2139</v>
      </c>
      <c r="J47" s="20" t="s">
        <v>2140</v>
      </c>
    </row>
    <row r="48" spans="1:10" ht="27.95" customHeight="1" x14ac:dyDescent="0.25">
      <c r="A48" s="20" t="s">
        <v>243</v>
      </c>
      <c r="B48" s="20" t="s">
        <v>245</v>
      </c>
      <c r="C48" s="20" t="s">
        <v>230</v>
      </c>
      <c r="D48" s="20" t="s">
        <v>2153</v>
      </c>
      <c r="E48" s="20" t="s">
        <v>2154</v>
      </c>
      <c r="F48" s="20" t="s">
        <v>244</v>
      </c>
      <c r="G48" s="20" t="s">
        <v>224</v>
      </c>
      <c r="H48" s="20" t="s">
        <v>2138</v>
      </c>
      <c r="I48" s="20" t="s">
        <v>2139</v>
      </c>
      <c r="J48" s="20" t="s">
        <v>2140</v>
      </c>
    </row>
    <row r="49" spans="1:10" ht="27.95" customHeight="1" x14ac:dyDescent="0.25">
      <c r="A49" s="20" t="s">
        <v>246</v>
      </c>
      <c r="B49" s="20" t="s">
        <v>248</v>
      </c>
      <c r="C49" s="20" t="s">
        <v>230</v>
      </c>
      <c r="D49" s="20" t="s">
        <v>2153</v>
      </c>
      <c r="E49" s="20" t="s">
        <v>2154</v>
      </c>
      <c r="F49" s="20" t="s">
        <v>247</v>
      </c>
      <c r="G49" s="20" t="s">
        <v>224</v>
      </c>
      <c r="H49" s="20" t="s">
        <v>2141</v>
      </c>
      <c r="I49" s="20" t="s">
        <v>2139</v>
      </c>
      <c r="J49" s="20" t="s">
        <v>2140</v>
      </c>
    </row>
    <row r="50" spans="1:10" ht="27.95" customHeight="1" x14ac:dyDescent="0.25">
      <c r="A50" s="20" t="s">
        <v>249</v>
      </c>
      <c r="B50" s="20" t="s">
        <v>251</v>
      </c>
      <c r="C50" s="20" t="s">
        <v>230</v>
      </c>
      <c r="D50" s="20" t="s">
        <v>2153</v>
      </c>
      <c r="E50" s="20" t="s">
        <v>2154</v>
      </c>
      <c r="F50" s="20" t="s">
        <v>250</v>
      </c>
      <c r="G50" s="20" t="s">
        <v>151</v>
      </c>
      <c r="H50" s="20" t="s">
        <v>2138</v>
      </c>
      <c r="I50" s="20" t="s">
        <v>2139</v>
      </c>
      <c r="J50" s="20" t="s">
        <v>2140</v>
      </c>
    </row>
    <row r="51" spans="1:10" ht="27.95" customHeight="1" x14ac:dyDescent="0.25">
      <c r="A51" s="20" t="s">
        <v>253</v>
      </c>
      <c r="B51" s="20" t="s">
        <v>255</v>
      </c>
      <c r="C51" s="20" t="s">
        <v>230</v>
      </c>
      <c r="D51" s="20" t="s">
        <v>2153</v>
      </c>
      <c r="E51" s="20" t="s">
        <v>2154</v>
      </c>
      <c r="F51" s="20" t="s">
        <v>254</v>
      </c>
      <c r="G51" s="20" t="s">
        <v>198</v>
      </c>
      <c r="H51" s="20" t="s">
        <v>2142</v>
      </c>
      <c r="I51" s="20" t="s">
        <v>2139</v>
      </c>
      <c r="J51" s="20" t="s">
        <v>2140</v>
      </c>
    </row>
    <row r="52" spans="1:10" ht="27.95" customHeight="1" x14ac:dyDescent="0.25">
      <c r="A52" s="20" t="s">
        <v>256</v>
      </c>
      <c r="B52" s="20" t="s">
        <v>259</v>
      </c>
      <c r="C52" s="20" t="s">
        <v>258</v>
      </c>
      <c r="D52" s="20" t="s">
        <v>2155</v>
      </c>
      <c r="E52" s="20" t="s">
        <v>2156</v>
      </c>
      <c r="F52" s="20" t="s">
        <v>257</v>
      </c>
      <c r="G52" s="20" t="s">
        <v>83</v>
      </c>
      <c r="H52" s="20" t="s">
        <v>2138</v>
      </c>
      <c r="I52" s="20" t="s">
        <v>2139</v>
      </c>
      <c r="J52" s="20" t="s">
        <v>2140</v>
      </c>
    </row>
    <row r="53" spans="1:10" ht="27.95" customHeight="1" x14ac:dyDescent="0.25">
      <c r="A53" s="20" t="s">
        <v>260</v>
      </c>
      <c r="B53" s="20" t="s">
        <v>262</v>
      </c>
      <c r="C53" s="20" t="s">
        <v>258</v>
      </c>
      <c r="D53" s="20" t="s">
        <v>2155</v>
      </c>
      <c r="E53" s="20" t="s">
        <v>2156</v>
      </c>
      <c r="F53" s="20" t="s">
        <v>261</v>
      </c>
      <c r="G53" s="20" t="s">
        <v>198</v>
      </c>
      <c r="H53" s="20" t="s">
        <v>2142</v>
      </c>
      <c r="I53" s="20" t="s">
        <v>2139</v>
      </c>
      <c r="J53" s="20" t="s">
        <v>2140</v>
      </c>
    </row>
    <row r="54" spans="1:10" ht="27.95" customHeight="1" x14ac:dyDescent="0.25">
      <c r="A54" s="20" t="s">
        <v>264</v>
      </c>
      <c r="B54" s="20" t="s">
        <v>266</v>
      </c>
      <c r="C54" s="20" t="s">
        <v>258</v>
      </c>
      <c r="D54" s="20" t="s">
        <v>2155</v>
      </c>
      <c r="E54" s="20" t="s">
        <v>2156</v>
      </c>
      <c r="F54" s="20" t="s">
        <v>265</v>
      </c>
      <c r="G54" s="20" t="s">
        <v>83</v>
      </c>
      <c r="H54" s="20" t="s">
        <v>2138</v>
      </c>
      <c r="I54" s="20" t="s">
        <v>2139</v>
      </c>
      <c r="J54" s="20" t="s">
        <v>2140</v>
      </c>
    </row>
    <row r="55" spans="1:10" ht="27.95" customHeight="1" x14ac:dyDescent="0.25">
      <c r="A55" s="20" t="s">
        <v>267</v>
      </c>
      <c r="B55" s="20" t="s">
        <v>269</v>
      </c>
      <c r="C55" s="20" t="s">
        <v>258</v>
      </c>
      <c r="D55" s="20" t="s">
        <v>2155</v>
      </c>
      <c r="E55" s="20" t="s">
        <v>2156</v>
      </c>
      <c r="F55" s="20" t="s">
        <v>268</v>
      </c>
      <c r="G55" s="20" t="s">
        <v>270</v>
      </c>
      <c r="H55" s="20" t="s">
        <v>2138</v>
      </c>
      <c r="I55" s="20" t="s">
        <v>2139</v>
      </c>
      <c r="J55" s="20" t="s">
        <v>2140</v>
      </c>
    </row>
    <row r="56" spans="1:10" ht="27.95" customHeight="1" x14ac:dyDescent="0.25">
      <c r="A56" s="20" t="s">
        <v>272</v>
      </c>
      <c r="B56" s="20" t="s">
        <v>274</v>
      </c>
      <c r="C56" s="20" t="s">
        <v>258</v>
      </c>
      <c r="D56" s="20" t="s">
        <v>2155</v>
      </c>
      <c r="E56" s="20" t="s">
        <v>2156</v>
      </c>
      <c r="F56" s="20" t="s">
        <v>273</v>
      </c>
      <c r="G56" s="20" t="s">
        <v>83</v>
      </c>
      <c r="H56" s="20" t="s">
        <v>2138</v>
      </c>
      <c r="I56" s="20" t="s">
        <v>2139</v>
      </c>
      <c r="J56" s="20" t="s">
        <v>2140</v>
      </c>
    </row>
    <row r="57" spans="1:10" ht="27.95" customHeight="1" x14ac:dyDescent="0.25">
      <c r="A57" s="20" t="s">
        <v>276</v>
      </c>
      <c r="B57" s="20" t="s">
        <v>278</v>
      </c>
      <c r="C57" s="20" t="s">
        <v>258</v>
      </c>
      <c r="D57" s="20" t="s">
        <v>2155</v>
      </c>
      <c r="E57" s="20" t="s">
        <v>2156</v>
      </c>
      <c r="F57" s="20" t="s">
        <v>277</v>
      </c>
      <c r="G57" s="20" t="s">
        <v>270</v>
      </c>
      <c r="H57" s="20" t="s">
        <v>2142</v>
      </c>
      <c r="I57" s="20" t="s">
        <v>2139</v>
      </c>
      <c r="J57" s="20" t="s">
        <v>2140</v>
      </c>
    </row>
    <row r="58" spans="1:10" ht="27.95" customHeight="1" x14ac:dyDescent="0.25">
      <c r="A58" s="20" t="s">
        <v>280</v>
      </c>
      <c r="B58" s="20" t="s">
        <v>282</v>
      </c>
      <c r="C58" s="20" t="s">
        <v>258</v>
      </c>
      <c r="D58" s="20" t="s">
        <v>2155</v>
      </c>
      <c r="E58" s="20" t="s">
        <v>2156</v>
      </c>
      <c r="F58" s="20" t="s">
        <v>281</v>
      </c>
      <c r="G58" s="20" t="s">
        <v>151</v>
      </c>
      <c r="H58" s="20" t="s">
        <v>2138</v>
      </c>
      <c r="I58" s="20" t="s">
        <v>2139</v>
      </c>
      <c r="J58" s="20" t="s">
        <v>2140</v>
      </c>
    </row>
    <row r="59" spans="1:10" ht="27.95" customHeight="1" x14ac:dyDescent="0.25">
      <c r="A59" s="20" t="s">
        <v>284</v>
      </c>
      <c r="B59" s="20" t="s">
        <v>287</v>
      </c>
      <c r="C59" s="20" t="s">
        <v>286</v>
      </c>
      <c r="D59" s="20" t="s">
        <v>2157</v>
      </c>
      <c r="E59" s="20" t="s">
        <v>2158</v>
      </c>
      <c r="F59" s="20" t="s">
        <v>285</v>
      </c>
      <c r="G59" s="20" t="s">
        <v>128</v>
      </c>
      <c r="H59" s="20" t="s">
        <v>2138</v>
      </c>
      <c r="I59" s="20" t="s">
        <v>2139</v>
      </c>
      <c r="J59" s="20" t="s">
        <v>2140</v>
      </c>
    </row>
    <row r="60" spans="1:10" ht="27.95" customHeight="1" x14ac:dyDescent="0.25">
      <c r="A60" s="20" t="s">
        <v>288</v>
      </c>
      <c r="B60" s="20" t="s">
        <v>290</v>
      </c>
      <c r="C60" s="20" t="s">
        <v>286</v>
      </c>
      <c r="D60" s="20" t="s">
        <v>2157</v>
      </c>
      <c r="E60" s="20" t="s">
        <v>2158</v>
      </c>
      <c r="F60" s="20" t="s">
        <v>289</v>
      </c>
      <c r="G60" s="20" t="s">
        <v>83</v>
      </c>
      <c r="H60" s="20" t="s">
        <v>2138</v>
      </c>
      <c r="I60" s="20" t="s">
        <v>2139</v>
      </c>
      <c r="J60" s="20" t="s">
        <v>2140</v>
      </c>
    </row>
    <row r="61" spans="1:10" ht="27.95" customHeight="1" x14ac:dyDescent="0.25">
      <c r="A61" s="20" t="s">
        <v>292</v>
      </c>
      <c r="B61" s="20" t="s">
        <v>294</v>
      </c>
      <c r="C61" s="20" t="s">
        <v>286</v>
      </c>
      <c r="D61" s="20" t="s">
        <v>2157</v>
      </c>
      <c r="E61" s="20" t="s">
        <v>2158</v>
      </c>
      <c r="F61" s="20" t="s">
        <v>293</v>
      </c>
      <c r="G61" s="20" t="s">
        <v>128</v>
      </c>
      <c r="H61" s="20" t="s">
        <v>2138</v>
      </c>
      <c r="I61" s="20" t="s">
        <v>2139</v>
      </c>
      <c r="J61" s="20" t="s">
        <v>2140</v>
      </c>
    </row>
    <row r="62" spans="1:10" ht="27.95" customHeight="1" x14ac:dyDescent="0.25">
      <c r="A62" s="20" t="s">
        <v>296</v>
      </c>
      <c r="B62" s="20" t="s">
        <v>298</v>
      </c>
      <c r="C62" s="20" t="s">
        <v>286</v>
      </c>
      <c r="D62" s="20" t="s">
        <v>2157</v>
      </c>
      <c r="E62" s="20" t="s">
        <v>2158</v>
      </c>
      <c r="F62" s="20" t="s">
        <v>297</v>
      </c>
      <c r="G62" s="20" t="s">
        <v>128</v>
      </c>
      <c r="H62" s="20" t="s">
        <v>2138</v>
      </c>
      <c r="I62" s="20" t="s">
        <v>2139</v>
      </c>
      <c r="J62" s="20" t="s">
        <v>2140</v>
      </c>
    </row>
    <row r="63" spans="1:10" ht="27.95" customHeight="1" x14ac:dyDescent="0.25">
      <c r="A63" s="20" t="s">
        <v>300</v>
      </c>
      <c r="B63" s="20" t="s">
        <v>302</v>
      </c>
      <c r="C63" s="20" t="s">
        <v>286</v>
      </c>
      <c r="D63" s="20" t="s">
        <v>2157</v>
      </c>
      <c r="E63" s="20" t="s">
        <v>2158</v>
      </c>
      <c r="F63" s="20" t="s">
        <v>301</v>
      </c>
      <c r="G63" s="20" t="s">
        <v>198</v>
      </c>
      <c r="H63" s="20" t="s">
        <v>2142</v>
      </c>
      <c r="I63" s="20" t="s">
        <v>2139</v>
      </c>
      <c r="J63" s="20" t="s">
        <v>2140</v>
      </c>
    </row>
    <row r="64" spans="1:10" ht="27.95" customHeight="1" x14ac:dyDescent="0.25">
      <c r="A64" s="20" t="s">
        <v>304</v>
      </c>
      <c r="B64" s="20" t="s">
        <v>306</v>
      </c>
      <c r="C64" s="20" t="s">
        <v>286</v>
      </c>
      <c r="D64" s="20" t="s">
        <v>2157</v>
      </c>
      <c r="E64" s="20" t="s">
        <v>2158</v>
      </c>
      <c r="F64" s="20" t="s">
        <v>305</v>
      </c>
      <c r="G64" s="20" t="s">
        <v>198</v>
      </c>
      <c r="H64" s="20" t="s">
        <v>2142</v>
      </c>
      <c r="I64" s="20" t="s">
        <v>2139</v>
      </c>
      <c r="J64" s="20" t="s">
        <v>2140</v>
      </c>
    </row>
    <row r="65" spans="1:10" ht="27.95" customHeight="1" x14ac:dyDescent="0.25">
      <c r="A65" s="20" t="s">
        <v>308</v>
      </c>
      <c r="B65" s="20" t="s">
        <v>310</v>
      </c>
      <c r="C65" s="20" t="s">
        <v>286</v>
      </c>
      <c r="D65" s="20" t="s">
        <v>2157</v>
      </c>
      <c r="E65" s="20" t="s">
        <v>2158</v>
      </c>
      <c r="F65" s="20" t="s">
        <v>309</v>
      </c>
      <c r="G65" s="20" t="s">
        <v>128</v>
      </c>
      <c r="H65" s="20" t="s">
        <v>2138</v>
      </c>
      <c r="I65" s="20" t="s">
        <v>2139</v>
      </c>
      <c r="J65" s="20" t="s">
        <v>2140</v>
      </c>
    </row>
    <row r="66" spans="1:10" ht="27.95" customHeight="1" x14ac:dyDescent="0.25">
      <c r="A66" s="20" t="s">
        <v>312</v>
      </c>
      <c r="B66" s="20" t="s">
        <v>315</v>
      </c>
      <c r="C66" s="20" t="s">
        <v>314</v>
      </c>
      <c r="D66" s="20" t="s">
        <v>2159</v>
      </c>
      <c r="E66" s="20" t="s">
        <v>2160</v>
      </c>
      <c r="F66" s="20" t="s">
        <v>313</v>
      </c>
      <c r="G66" s="20" t="s">
        <v>239</v>
      </c>
      <c r="H66" s="20" t="s">
        <v>2141</v>
      </c>
      <c r="I66" s="20" t="s">
        <v>2139</v>
      </c>
      <c r="J66" s="20" t="s">
        <v>2140</v>
      </c>
    </row>
    <row r="67" spans="1:10" ht="27.95" customHeight="1" x14ac:dyDescent="0.25">
      <c r="A67" s="20" t="s">
        <v>316</v>
      </c>
      <c r="B67" s="20" t="s">
        <v>318</v>
      </c>
      <c r="C67" s="20" t="s">
        <v>314</v>
      </c>
      <c r="D67" s="20" t="s">
        <v>2159</v>
      </c>
      <c r="E67" s="20" t="s">
        <v>2160</v>
      </c>
      <c r="F67" s="20" t="s">
        <v>317</v>
      </c>
      <c r="G67" s="20" t="s">
        <v>239</v>
      </c>
      <c r="H67" s="20" t="s">
        <v>2141</v>
      </c>
      <c r="I67" s="20" t="s">
        <v>2139</v>
      </c>
      <c r="J67" s="20" t="s">
        <v>2140</v>
      </c>
    </row>
    <row r="68" spans="1:10" ht="27.95" customHeight="1" x14ac:dyDescent="0.25">
      <c r="A68" s="20" t="s">
        <v>320</v>
      </c>
      <c r="B68" s="20" t="s">
        <v>322</v>
      </c>
      <c r="C68" s="20" t="s">
        <v>314</v>
      </c>
      <c r="D68" s="20" t="s">
        <v>2159</v>
      </c>
      <c r="E68" s="20" t="s">
        <v>2160</v>
      </c>
      <c r="F68" s="20" t="s">
        <v>321</v>
      </c>
      <c r="G68" s="20" t="s">
        <v>198</v>
      </c>
      <c r="H68" s="20" t="s">
        <v>2142</v>
      </c>
      <c r="I68" s="20" t="s">
        <v>2139</v>
      </c>
      <c r="J68" s="20" t="s">
        <v>2140</v>
      </c>
    </row>
    <row r="69" spans="1:10" ht="27.95" customHeight="1" x14ac:dyDescent="0.25">
      <c r="A69" s="20" t="s">
        <v>323</v>
      </c>
      <c r="B69" s="20" t="s">
        <v>325</v>
      </c>
      <c r="C69" s="20" t="s">
        <v>314</v>
      </c>
      <c r="D69" s="20" t="s">
        <v>2159</v>
      </c>
      <c r="E69" s="20" t="s">
        <v>2160</v>
      </c>
      <c r="F69" s="20" t="s">
        <v>324</v>
      </c>
      <c r="G69" s="20" t="s">
        <v>326</v>
      </c>
      <c r="H69" s="20" t="s">
        <v>2138</v>
      </c>
      <c r="I69" s="20" t="s">
        <v>2139</v>
      </c>
      <c r="J69" s="20" t="s">
        <v>2140</v>
      </c>
    </row>
    <row r="70" spans="1:10" ht="27.95" customHeight="1" x14ac:dyDescent="0.25">
      <c r="A70" s="20" t="s">
        <v>327</v>
      </c>
      <c r="B70" s="20" t="s">
        <v>329</v>
      </c>
      <c r="C70" s="20" t="s">
        <v>314</v>
      </c>
      <c r="D70" s="20" t="s">
        <v>2159</v>
      </c>
      <c r="E70" s="20" t="s">
        <v>2160</v>
      </c>
      <c r="F70" s="20" t="s">
        <v>328</v>
      </c>
      <c r="G70" s="20" t="s">
        <v>330</v>
      </c>
      <c r="H70" s="20" t="s">
        <v>2138</v>
      </c>
      <c r="I70" s="20" t="s">
        <v>2139</v>
      </c>
      <c r="J70" s="20" t="s">
        <v>2140</v>
      </c>
    </row>
    <row r="71" spans="1:10" ht="27.95" customHeight="1" x14ac:dyDescent="0.25">
      <c r="A71" s="20" t="s">
        <v>332</v>
      </c>
      <c r="B71" s="20" t="s">
        <v>334</v>
      </c>
      <c r="C71" s="20" t="s">
        <v>314</v>
      </c>
      <c r="D71" s="20" t="s">
        <v>2159</v>
      </c>
      <c r="E71" s="20" t="s">
        <v>2160</v>
      </c>
      <c r="F71" s="20" t="s">
        <v>333</v>
      </c>
      <c r="G71" s="20" t="s">
        <v>326</v>
      </c>
      <c r="H71" s="20" t="s">
        <v>2141</v>
      </c>
      <c r="I71" s="20" t="s">
        <v>2139</v>
      </c>
      <c r="J71" s="20" t="s">
        <v>2140</v>
      </c>
    </row>
    <row r="72" spans="1:10" ht="27.95" customHeight="1" x14ac:dyDescent="0.25">
      <c r="A72" s="20" t="s">
        <v>336</v>
      </c>
      <c r="B72" s="20" t="s">
        <v>338</v>
      </c>
      <c r="C72" s="20" t="s">
        <v>314</v>
      </c>
      <c r="D72" s="20" t="s">
        <v>2159</v>
      </c>
      <c r="E72" s="20" t="s">
        <v>2160</v>
      </c>
      <c r="F72" s="20" t="s">
        <v>337</v>
      </c>
      <c r="G72" s="20" t="s">
        <v>326</v>
      </c>
      <c r="H72" s="20" t="s">
        <v>2138</v>
      </c>
      <c r="I72" s="20" t="s">
        <v>2139</v>
      </c>
      <c r="J72" s="20" t="s">
        <v>2140</v>
      </c>
    </row>
    <row r="73" spans="1:10" ht="27.95" customHeight="1" x14ac:dyDescent="0.25">
      <c r="A73" s="20" t="s">
        <v>339</v>
      </c>
      <c r="B73" s="20" t="s">
        <v>341</v>
      </c>
      <c r="C73" s="20" t="s">
        <v>314</v>
      </c>
      <c r="D73" s="20" t="s">
        <v>2159</v>
      </c>
      <c r="E73" s="20" t="s">
        <v>2160</v>
      </c>
      <c r="F73" s="20" t="s">
        <v>340</v>
      </c>
      <c r="G73" s="20" t="s">
        <v>151</v>
      </c>
      <c r="H73" s="20" t="s">
        <v>2138</v>
      </c>
      <c r="I73" s="20" t="s">
        <v>2139</v>
      </c>
      <c r="J73" s="20" t="s">
        <v>2140</v>
      </c>
    </row>
    <row r="74" spans="1:10" ht="27.95" customHeight="1" x14ac:dyDescent="0.25">
      <c r="A74" s="20" t="s">
        <v>343</v>
      </c>
      <c r="B74" s="20" t="s">
        <v>346</v>
      </c>
      <c r="C74" s="20" t="s">
        <v>345</v>
      </c>
      <c r="D74" s="20" t="s">
        <v>2161</v>
      </c>
      <c r="E74" s="20" t="s">
        <v>2162</v>
      </c>
      <c r="F74" s="20" t="s">
        <v>344</v>
      </c>
      <c r="G74" s="20" t="s">
        <v>83</v>
      </c>
      <c r="H74" s="20" t="s">
        <v>2138</v>
      </c>
      <c r="I74" s="20" t="s">
        <v>2139</v>
      </c>
      <c r="J74" s="20" t="s">
        <v>2140</v>
      </c>
    </row>
    <row r="75" spans="1:10" ht="27.95" customHeight="1" x14ac:dyDescent="0.25">
      <c r="A75" s="20" t="s">
        <v>347</v>
      </c>
      <c r="B75" s="20" t="s">
        <v>349</v>
      </c>
      <c r="C75" s="20" t="s">
        <v>345</v>
      </c>
      <c r="D75" s="20" t="s">
        <v>2161</v>
      </c>
      <c r="E75" s="20" t="s">
        <v>2162</v>
      </c>
      <c r="F75" s="20" t="s">
        <v>348</v>
      </c>
      <c r="G75" s="20" t="s">
        <v>350</v>
      </c>
      <c r="H75" s="20" t="s">
        <v>2138</v>
      </c>
      <c r="I75" s="20" t="s">
        <v>2139</v>
      </c>
      <c r="J75" s="20" t="s">
        <v>2140</v>
      </c>
    </row>
    <row r="76" spans="1:10" ht="27.95" customHeight="1" x14ac:dyDescent="0.25">
      <c r="A76" s="20" t="s">
        <v>352</v>
      </c>
      <c r="B76" s="20" t="s">
        <v>354</v>
      </c>
      <c r="C76" s="20" t="s">
        <v>345</v>
      </c>
      <c r="D76" s="20" t="s">
        <v>2161</v>
      </c>
      <c r="E76" s="20" t="s">
        <v>2162</v>
      </c>
      <c r="F76" s="20" t="s">
        <v>353</v>
      </c>
      <c r="G76" s="20" t="s">
        <v>350</v>
      </c>
      <c r="H76" s="20" t="s">
        <v>2141</v>
      </c>
      <c r="I76" s="20" t="s">
        <v>2139</v>
      </c>
      <c r="J76" s="20" t="s">
        <v>2140</v>
      </c>
    </row>
    <row r="77" spans="1:10" ht="27.95" customHeight="1" x14ac:dyDescent="0.25">
      <c r="A77" s="20" t="s">
        <v>355</v>
      </c>
      <c r="B77" s="20" t="s">
        <v>357</v>
      </c>
      <c r="C77" s="20" t="s">
        <v>345</v>
      </c>
      <c r="D77" s="20" t="s">
        <v>2161</v>
      </c>
      <c r="E77" s="20" t="s">
        <v>2162</v>
      </c>
      <c r="F77" s="20" t="s">
        <v>356</v>
      </c>
      <c r="G77" s="20" t="s">
        <v>198</v>
      </c>
      <c r="H77" s="20" t="s">
        <v>2142</v>
      </c>
      <c r="I77" s="20" t="s">
        <v>2139</v>
      </c>
      <c r="J77" s="20" t="s">
        <v>2140</v>
      </c>
    </row>
    <row r="78" spans="1:10" ht="27.95" customHeight="1" x14ac:dyDescent="0.25">
      <c r="A78" s="20" t="s">
        <v>358</v>
      </c>
      <c r="B78" s="20" t="s">
        <v>360</v>
      </c>
      <c r="C78" s="20" t="s">
        <v>345</v>
      </c>
      <c r="D78" s="20" t="s">
        <v>2161</v>
      </c>
      <c r="E78" s="20" t="s">
        <v>2162</v>
      </c>
      <c r="F78" s="20" t="s">
        <v>359</v>
      </c>
      <c r="G78" s="20" t="s">
        <v>198</v>
      </c>
      <c r="H78" s="20" t="s">
        <v>2142</v>
      </c>
      <c r="I78" s="20" t="s">
        <v>2139</v>
      </c>
      <c r="J78" s="20" t="s">
        <v>2140</v>
      </c>
    </row>
    <row r="79" spans="1:10" ht="27.95" customHeight="1" x14ac:dyDescent="0.25">
      <c r="A79" s="20" t="s">
        <v>362</v>
      </c>
      <c r="B79" s="20" t="s">
        <v>364</v>
      </c>
      <c r="C79" s="20" t="s">
        <v>345</v>
      </c>
      <c r="D79" s="20" t="s">
        <v>2161</v>
      </c>
      <c r="E79" s="20" t="s">
        <v>2162</v>
      </c>
      <c r="F79" s="20" t="s">
        <v>363</v>
      </c>
      <c r="G79" s="20" t="s">
        <v>350</v>
      </c>
      <c r="H79" s="20" t="s">
        <v>2138</v>
      </c>
      <c r="I79" s="20" t="s">
        <v>2139</v>
      </c>
      <c r="J79" s="20" t="s">
        <v>2140</v>
      </c>
    </row>
    <row r="80" spans="1:10" ht="27.95" customHeight="1" x14ac:dyDescent="0.25">
      <c r="A80" s="20" t="s">
        <v>366</v>
      </c>
      <c r="B80" s="20" t="s">
        <v>368</v>
      </c>
      <c r="C80" s="20" t="s">
        <v>345</v>
      </c>
      <c r="D80" s="20" t="s">
        <v>2161</v>
      </c>
      <c r="E80" s="20" t="s">
        <v>2162</v>
      </c>
      <c r="F80" s="20" t="s">
        <v>367</v>
      </c>
      <c r="G80" s="20" t="s">
        <v>83</v>
      </c>
      <c r="H80" s="20" t="s">
        <v>2138</v>
      </c>
      <c r="I80" s="20" t="s">
        <v>2139</v>
      </c>
      <c r="J80" s="20" t="s">
        <v>2140</v>
      </c>
    </row>
    <row r="81" spans="1:10" ht="27.95" customHeight="1" x14ac:dyDescent="0.25">
      <c r="A81" s="20" t="s">
        <v>369</v>
      </c>
      <c r="B81" s="20" t="s">
        <v>371</v>
      </c>
      <c r="C81" s="20" t="s">
        <v>345</v>
      </c>
      <c r="D81" s="20" t="s">
        <v>2161</v>
      </c>
      <c r="E81" s="20" t="s">
        <v>2162</v>
      </c>
      <c r="F81" s="20" t="s">
        <v>370</v>
      </c>
      <c r="G81" s="20" t="s">
        <v>151</v>
      </c>
      <c r="H81" s="20" t="s">
        <v>2138</v>
      </c>
      <c r="I81" s="20" t="s">
        <v>2139</v>
      </c>
      <c r="J81" s="20" t="s">
        <v>2140</v>
      </c>
    </row>
    <row r="82" spans="1:10" ht="27.95" customHeight="1" x14ac:dyDescent="0.25">
      <c r="A82" s="20" t="s">
        <v>373</v>
      </c>
      <c r="B82" s="20" t="s">
        <v>376</v>
      </c>
      <c r="C82" s="20" t="s">
        <v>375</v>
      </c>
      <c r="D82" s="20" t="s">
        <v>2163</v>
      </c>
      <c r="E82" s="20" t="s">
        <v>2164</v>
      </c>
      <c r="F82" s="20" t="s">
        <v>374</v>
      </c>
      <c r="G82" s="20" t="s">
        <v>151</v>
      </c>
      <c r="H82" s="20" t="s">
        <v>2138</v>
      </c>
      <c r="I82" s="20" t="s">
        <v>2139</v>
      </c>
      <c r="J82" s="20" t="s">
        <v>2140</v>
      </c>
    </row>
    <row r="83" spans="1:10" ht="27.95" customHeight="1" x14ac:dyDescent="0.25">
      <c r="A83" s="20" t="s">
        <v>378</v>
      </c>
      <c r="B83" s="20" t="s">
        <v>380</v>
      </c>
      <c r="C83" s="20" t="s">
        <v>375</v>
      </c>
      <c r="D83" s="20" t="s">
        <v>2163</v>
      </c>
      <c r="E83" s="20" t="s">
        <v>2164</v>
      </c>
      <c r="F83" s="20" t="s">
        <v>379</v>
      </c>
      <c r="G83" s="20" t="s">
        <v>151</v>
      </c>
      <c r="H83" s="20" t="s">
        <v>2138</v>
      </c>
      <c r="I83" s="20" t="s">
        <v>2139</v>
      </c>
      <c r="J83" s="20" t="s">
        <v>2140</v>
      </c>
    </row>
    <row r="84" spans="1:10" ht="27.95" customHeight="1" x14ac:dyDescent="0.25">
      <c r="A84" s="20" t="s">
        <v>381</v>
      </c>
      <c r="B84" s="20" t="s">
        <v>383</v>
      </c>
      <c r="C84" s="20" t="s">
        <v>375</v>
      </c>
      <c r="D84" s="20" t="s">
        <v>2163</v>
      </c>
      <c r="E84" s="20" t="s">
        <v>2164</v>
      </c>
      <c r="F84" s="20" t="s">
        <v>382</v>
      </c>
      <c r="G84" s="20" t="s">
        <v>151</v>
      </c>
      <c r="H84" s="20" t="s">
        <v>2138</v>
      </c>
      <c r="I84" s="20" t="s">
        <v>2139</v>
      </c>
      <c r="J84" s="20" t="s">
        <v>2140</v>
      </c>
    </row>
    <row r="85" spans="1:10" ht="27.95" customHeight="1" x14ac:dyDescent="0.25">
      <c r="A85" s="20" t="s">
        <v>385</v>
      </c>
      <c r="B85" s="20" t="s">
        <v>387</v>
      </c>
      <c r="C85" s="20" t="s">
        <v>375</v>
      </c>
      <c r="D85" s="20" t="s">
        <v>2163</v>
      </c>
      <c r="E85" s="20" t="s">
        <v>2164</v>
      </c>
      <c r="F85" s="20" t="s">
        <v>386</v>
      </c>
      <c r="G85" s="20" t="s">
        <v>224</v>
      </c>
      <c r="H85" s="20" t="s">
        <v>2138</v>
      </c>
      <c r="I85" s="20" t="s">
        <v>2139</v>
      </c>
      <c r="J85" s="20" t="s">
        <v>2140</v>
      </c>
    </row>
    <row r="86" spans="1:10" ht="27.95" customHeight="1" x14ac:dyDescent="0.25">
      <c r="A86" s="20" t="s">
        <v>388</v>
      </c>
      <c r="B86" s="20" t="s">
        <v>390</v>
      </c>
      <c r="C86" s="20" t="s">
        <v>375</v>
      </c>
      <c r="D86" s="20" t="s">
        <v>2163</v>
      </c>
      <c r="E86" s="20" t="s">
        <v>2164</v>
      </c>
      <c r="F86" s="20" t="s">
        <v>389</v>
      </c>
      <c r="G86" s="20" t="s">
        <v>151</v>
      </c>
      <c r="H86" s="20" t="s">
        <v>2138</v>
      </c>
      <c r="I86" s="20" t="s">
        <v>2139</v>
      </c>
      <c r="J86" s="20" t="s">
        <v>2140</v>
      </c>
    </row>
    <row r="87" spans="1:10" ht="27.95" customHeight="1" x14ac:dyDescent="0.25">
      <c r="A87" s="20" t="s">
        <v>391</v>
      </c>
      <c r="B87" s="20" t="s">
        <v>393</v>
      </c>
      <c r="C87" s="20" t="s">
        <v>375</v>
      </c>
      <c r="D87" s="20" t="s">
        <v>2163</v>
      </c>
      <c r="E87" s="20" t="s">
        <v>2164</v>
      </c>
      <c r="F87" s="20" t="s">
        <v>392</v>
      </c>
      <c r="G87" s="20" t="s">
        <v>394</v>
      </c>
      <c r="H87" s="20" t="s">
        <v>2138</v>
      </c>
      <c r="I87" s="20" t="s">
        <v>2139</v>
      </c>
      <c r="J87" s="20" t="s">
        <v>2140</v>
      </c>
    </row>
    <row r="88" spans="1:10" ht="27.95" customHeight="1" x14ac:dyDescent="0.25">
      <c r="A88" s="20" t="s">
        <v>396</v>
      </c>
      <c r="B88" s="20" t="s">
        <v>398</v>
      </c>
      <c r="C88" s="20" t="s">
        <v>375</v>
      </c>
      <c r="D88" s="20" t="s">
        <v>2163</v>
      </c>
      <c r="E88" s="20" t="s">
        <v>2164</v>
      </c>
      <c r="F88" s="20" t="s">
        <v>397</v>
      </c>
      <c r="G88" s="20" t="s">
        <v>198</v>
      </c>
      <c r="H88" s="20" t="s">
        <v>2142</v>
      </c>
      <c r="I88" s="20" t="s">
        <v>2139</v>
      </c>
      <c r="J88" s="20" t="s">
        <v>2140</v>
      </c>
    </row>
    <row r="89" spans="1:10" ht="27.95" customHeight="1" x14ac:dyDescent="0.25">
      <c r="A89" s="20" t="s">
        <v>399</v>
      </c>
      <c r="B89" s="20" t="s">
        <v>401</v>
      </c>
      <c r="C89" s="20" t="s">
        <v>375</v>
      </c>
      <c r="D89" s="20" t="s">
        <v>2163</v>
      </c>
      <c r="E89" s="20" t="s">
        <v>2164</v>
      </c>
      <c r="F89" s="20" t="s">
        <v>400</v>
      </c>
      <c r="G89" s="20" t="s">
        <v>83</v>
      </c>
      <c r="H89" s="20" t="s">
        <v>2138</v>
      </c>
      <c r="I89" s="20" t="s">
        <v>2139</v>
      </c>
      <c r="J89" s="20" t="s">
        <v>2140</v>
      </c>
    </row>
    <row r="90" spans="1:10" ht="27.95" customHeight="1" x14ac:dyDescent="0.25">
      <c r="A90" s="20" t="s">
        <v>403</v>
      </c>
      <c r="B90" s="20" t="s">
        <v>406</v>
      </c>
      <c r="C90" s="20" t="s">
        <v>405</v>
      </c>
      <c r="D90" s="20" t="s">
        <v>2165</v>
      </c>
      <c r="E90" s="20" t="s">
        <v>2166</v>
      </c>
      <c r="F90" s="20" t="s">
        <v>404</v>
      </c>
      <c r="G90" s="20" t="s">
        <v>239</v>
      </c>
      <c r="H90" s="20" t="s">
        <v>2138</v>
      </c>
      <c r="I90" s="20" t="s">
        <v>2139</v>
      </c>
      <c r="J90" s="20" t="s">
        <v>2140</v>
      </c>
    </row>
    <row r="91" spans="1:10" ht="27.95" customHeight="1" x14ac:dyDescent="0.25">
      <c r="A91" s="20" t="s">
        <v>407</v>
      </c>
      <c r="B91" s="20" t="s">
        <v>409</v>
      </c>
      <c r="C91" s="20" t="s">
        <v>405</v>
      </c>
      <c r="D91" s="20" t="s">
        <v>2165</v>
      </c>
      <c r="E91" s="20" t="s">
        <v>2166</v>
      </c>
      <c r="F91" s="20" t="s">
        <v>408</v>
      </c>
      <c r="G91" s="20" t="s">
        <v>239</v>
      </c>
      <c r="H91" s="20" t="s">
        <v>2138</v>
      </c>
      <c r="I91" s="20" t="s">
        <v>2139</v>
      </c>
      <c r="J91" s="20" t="s">
        <v>2140</v>
      </c>
    </row>
    <row r="92" spans="1:10" ht="27.95" customHeight="1" x14ac:dyDescent="0.25">
      <c r="A92" s="20" t="s">
        <v>411</v>
      </c>
      <c r="B92" s="20" t="s">
        <v>413</v>
      </c>
      <c r="C92" s="20" t="s">
        <v>405</v>
      </c>
      <c r="D92" s="20" t="s">
        <v>2165</v>
      </c>
      <c r="E92" s="20" t="s">
        <v>2166</v>
      </c>
      <c r="F92" s="20" t="s">
        <v>412</v>
      </c>
      <c r="G92" s="20" t="s">
        <v>239</v>
      </c>
      <c r="H92" s="20" t="s">
        <v>2138</v>
      </c>
      <c r="I92" s="20" t="s">
        <v>2139</v>
      </c>
      <c r="J92" s="20" t="s">
        <v>2140</v>
      </c>
    </row>
    <row r="93" spans="1:10" ht="27.95" customHeight="1" x14ac:dyDescent="0.25">
      <c r="A93" s="20" t="s">
        <v>415</v>
      </c>
      <c r="B93" s="20" t="s">
        <v>417</v>
      </c>
      <c r="C93" s="20" t="s">
        <v>405</v>
      </c>
      <c r="D93" s="20" t="s">
        <v>2165</v>
      </c>
      <c r="E93" s="20" t="s">
        <v>2166</v>
      </c>
      <c r="F93" s="20" t="s">
        <v>416</v>
      </c>
      <c r="G93" s="20" t="s">
        <v>239</v>
      </c>
      <c r="H93" s="20" t="s">
        <v>2138</v>
      </c>
      <c r="I93" s="20" t="s">
        <v>2139</v>
      </c>
      <c r="J93" s="20" t="s">
        <v>2140</v>
      </c>
    </row>
    <row r="94" spans="1:10" ht="27.95" customHeight="1" x14ac:dyDescent="0.25">
      <c r="A94" s="20" t="s">
        <v>418</v>
      </c>
      <c r="B94" s="20" t="s">
        <v>420</v>
      </c>
      <c r="C94" s="20" t="s">
        <v>405</v>
      </c>
      <c r="D94" s="20" t="s">
        <v>2165</v>
      </c>
      <c r="E94" s="20" t="s">
        <v>2166</v>
      </c>
      <c r="F94" s="20" t="s">
        <v>419</v>
      </c>
      <c r="G94" s="20" t="s">
        <v>198</v>
      </c>
      <c r="H94" s="20" t="s">
        <v>2142</v>
      </c>
      <c r="I94" s="20" t="s">
        <v>2139</v>
      </c>
      <c r="J94" s="20" t="s">
        <v>2140</v>
      </c>
    </row>
    <row r="95" spans="1:10" ht="27.95" customHeight="1" x14ac:dyDescent="0.25">
      <c r="A95" s="20" t="s">
        <v>422</v>
      </c>
      <c r="B95" s="20" t="s">
        <v>424</v>
      </c>
      <c r="C95" s="20" t="s">
        <v>405</v>
      </c>
      <c r="D95" s="20" t="s">
        <v>2165</v>
      </c>
      <c r="E95" s="20" t="s">
        <v>2166</v>
      </c>
      <c r="F95" s="20" t="s">
        <v>423</v>
      </c>
      <c r="G95" s="20" t="s">
        <v>83</v>
      </c>
      <c r="H95" s="20" t="s">
        <v>2138</v>
      </c>
      <c r="I95" s="20" t="s">
        <v>2139</v>
      </c>
      <c r="J95" s="20" t="s">
        <v>2140</v>
      </c>
    </row>
    <row r="96" spans="1:10" ht="27.95" customHeight="1" x14ac:dyDescent="0.25">
      <c r="A96" s="20" t="s">
        <v>425</v>
      </c>
      <c r="B96" s="20" t="s">
        <v>427</v>
      </c>
      <c r="C96" s="20" t="s">
        <v>405</v>
      </c>
      <c r="D96" s="20" t="s">
        <v>2165</v>
      </c>
      <c r="E96" s="20" t="s">
        <v>2166</v>
      </c>
      <c r="F96" s="20" t="s">
        <v>426</v>
      </c>
      <c r="G96" s="20" t="s">
        <v>83</v>
      </c>
      <c r="H96" s="20" t="s">
        <v>2138</v>
      </c>
      <c r="I96" s="20" t="s">
        <v>2139</v>
      </c>
      <c r="J96" s="20" t="s">
        <v>2140</v>
      </c>
    </row>
    <row r="97" spans="1:10" ht="27.95" customHeight="1" x14ac:dyDescent="0.25">
      <c r="A97" s="20" t="s">
        <v>429</v>
      </c>
      <c r="B97" s="20" t="s">
        <v>432</v>
      </c>
      <c r="C97" s="20" t="s">
        <v>431</v>
      </c>
      <c r="D97" s="20" t="s">
        <v>2167</v>
      </c>
      <c r="E97" s="20" t="s">
        <v>2168</v>
      </c>
      <c r="F97" s="20" t="s">
        <v>430</v>
      </c>
      <c r="G97" s="20" t="s">
        <v>239</v>
      </c>
      <c r="H97" s="20" t="s">
        <v>2138</v>
      </c>
      <c r="I97" s="20" t="s">
        <v>2139</v>
      </c>
      <c r="J97" s="20" t="s">
        <v>2140</v>
      </c>
    </row>
    <row r="98" spans="1:10" ht="27.95" customHeight="1" x14ac:dyDescent="0.25">
      <c r="A98" s="20" t="s">
        <v>433</v>
      </c>
      <c r="B98" s="20" t="s">
        <v>435</v>
      </c>
      <c r="C98" s="20" t="s">
        <v>431</v>
      </c>
      <c r="D98" s="20" t="s">
        <v>2167</v>
      </c>
      <c r="E98" s="20" t="s">
        <v>2168</v>
      </c>
      <c r="F98" s="20" t="s">
        <v>434</v>
      </c>
      <c r="G98" s="20" t="s">
        <v>198</v>
      </c>
      <c r="H98" s="20" t="s">
        <v>2142</v>
      </c>
      <c r="I98" s="20" t="s">
        <v>2139</v>
      </c>
      <c r="J98" s="20" t="s">
        <v>2140</v>
      </c>
    </row>
    <row r="99" spans="1:10" ht="27.95" customHeight="1" x14ac:dyDescent="0.25">
      <c r="A99" s="20" t="s">
        <v>437</v>
      </c>
      <c r="B99" s="20" t="s">
        <v>439</v>
      </c>
      <c r="C99" s="20" t="s">
        <v>431</v>
      </c>
      <c r="D99" s="20" t="s">
        <v>2167</v>
      </c>
      <c r="E99" s="20" t="s">
        <v>2168</v>
      </c>
      <c r="F99" s="20" t="s">
        <v>438</v>
      </c>
      <c r="G99" s="20" t="s">
        <v>239</v>
      </c>
      <c r="H99" s="20" t="s">
        <v>2138</v>
      </c>
      <c r="I99" s="20" t="s">
        <v>2139</v>
      </c>
      <c r="J99" s="20" t="s">
        <v>2140</v>
      </c>
    </row>
    <row r="100" spans="1:10" ht="27.95" customHeight="1" x14ac:dyDescent="0.25">
      <c r="A100" s="20" t="s">
        <v>440</v>
      </c>
      <c r="B100" s="20" t="s">
        <v>442</v>
      </c>
      <c r="C100" s="20" t="s">
        <v>431</v>
      </c>
      <c r="D100" s="20" t="s">
        <v>2167</v>
      </c>
      <c r="E100" s="20" t="s">
        <v>2168</v>
      </c>
      <c r="F100" s="20" t="s">
        <v>441</v>
      </c>
      <c r="G100" s="20" t="s">
        <v>198</v>
      </c>
      <c r="H100" s="20" t="s">
        <v>2142</v>
      </c>
      <c r="I100" s="20" t="s">
        <v>2139</v>
      </c>
      <c r="J100" s="20" t="s">
        <v>2140</v>
      </c>
    </row>
    <row r="101" spans="1:10" ht="27.95" customHeight="1" x14ac:dyDescent="0.25">
      <c r="A101" s="20" t="s">
        <v>444</v>
      </c>
      <c r="B101" s="20" t="s">
        <v>446</v>
      </c>
      <c r="C101" s="20" t="s">
        <v>431</v>
      </c>
      <c r="D101" s="20" t="s">
        <v>2167</v>
      </c>
      <c r="E101" s="20" t="s">
        <v>2168</v>
      </c>
      <c r="F101" s="20" t="s">
        <v>445</v>
      </c>
      <c r="G101" s="20" t="s">
        <v>239</v>
      </c>
      <c r="H101" s="20" t="s">
        <v>2138</v>
      </c>
      <c r="I101" s="20" t="s">
        <v>2139</v>
      </c>
      <c r="J101" s="20" t="s">
        <v>2140</v>
      </c>
    </row>
    <row r="102" spans="1:10" ht="27.95" customHeight="1" x14ac:dyDescent="0.25">
      <c r="A102" s="20" t="s">
        <v>447</v>
      </c>
      <c r="B102" s="20" t="s">
        <v>449</v>
      </c>
      <c r="C102" s="20" t="s">
        <v>431</v>
      </c>
      <c r="D102" s="20" t="s">
        <v>2167</v>
      </c>
      <c r="E102" s="20" t="s">
        <v>2168</v>
      </c>
      <c r="F102" s="20" t="s">
        <v>448</v>
      </c>
      <c r="G102" s="20" t="s">
        <v>198</v>
      </c>
      <c r="H102" s="20" t="s">
        <v>2142</v>
      </c>
      <c r="I102" s="20" t="s">
        <v>2139</v>
      </c>
      <c r="J102" s="20" t="s">
        <v>2140</v>
      </c>
    </row>
    <row r="103" spans="1:10" ht="27.95" customHeight="1" x14ac:dyDescent="0.25">
      <c r="A103" s="20" t="s">
        <v>451</v>
      </c>
      <c r="B103" s="20" t="s">
        <v>453</v>
      </c>
      <c r="C103" s="20" t="s">
        <v>431</v>
      </c>
      <c r="D103" s="20" t="s">
        <v>2167</v>
      </c>
      <c r="E103" s="20" t="s">
        <v>2168</v>
      </c>
      <c r="F103" s="20" t="s">
        <v>452</v>
      </c>
      <c r="G103" s="20" t="s">
        <v>454</v>
      </c>
      <c r="H103" s="20" t="s">
        <v>2138</v>
      </c>
      <c r="I103" s="20" t="s">
        <v>2139</v>
      </c>
      <c r="J103" s="20" t="s">
        <v>2140</v>
      </c>
    </row>
    <row r="104" spans="1:10" ht="27.95" customHeight="1" x14ac:dyDescent="0.25">
      <c r="A104" s="20" t="s">
        <v>455</v>
      </c>
      <c r="B104" s="20" t="s">
        <v>457</v>
      </c>
      <c r="C104" s="20" t="s">
        <v>431</v>
      </c>
      <c r="D104" s="20" t="s">
        <v>2167</v>
      </c>
      <c r="E104" s="20" t="s">
        <v>2168</v>
      </c>
      <c r="F104" s="20" t="s">
        <v>456</v>
      </c>
      <c r="G104" s="20" t="s">
        <v>151</v>
      </c>
      <c r="H104" s="20" t="s">
        <v>2138</v>
      </c>
      <c r="I104" s="20" t="s">
        <v>2139</v>
      </c>
      <c r="J104" s="20" t="s">
        <v>2140</v>
      </c>
    </row>
    <row r="105" spans="1:10" ht="27.95" customHeight="1" x14ac:dyDescent="0.25">
      <c r="A105" s="20" t="s">
        <v>459</v>
      </c>
      <c r="B105" s="20" t="s">
        <v>461</v>
      </c>
      <c r="C105" s="20" t="s">
        <v>68</v>
      </c>
      <c r="D105" s="20" t="s">
        <v>2136</v>
      </c>
      <c r="E105" s="20" t="s">
        <v>2137</v>
      </c>
      <c r="F105" s="20" t="s">
        <v>460</v>
      </c>
      <c r="G105" s="20" t="s">
        <v>83</v>
      </c>
      <c r="H105" s="20" t="s">
        <v>2138</v>
      </c>
      <c r="I105" s="20" t="s">
        <v>2139</v>
      </c>
      <c r="J105" s="20" t="s">
        <v>2140</v>
      </c>
    </row>
    <row r="106" spans="1:10" ht="27.95" customHeight="1" x14ac:dyDescent="0.25">
      <c r="A106" s="20" t="s">
        <v>463</v>
      </c>
      <c r="B106" s="20" t="s">
        <v>465</v>
      </c>
      <c r="C106" s="20" t="s">
        <v>68</v>
      </c>
      <c r="D106" s="20" t="s">
        <v>2136</v>
      </c>
      <c r="E106" s="20" t="s">
        <v>2137</v>
      </c>
      <c r="F106" s="20" t="s">
        <v>464</v>
      </c>
      <c r="G106" s="20" t="s">
        <v>83</v>
      </c>
      <c r="H106" s="20" t="s">
        <v>2138</v>
      </c>
      <c r="I106" s="20" t="s">
        <v>2139</v>
      </c>
      <c r="J106" s="20" t="s">
        <v>2140</v>
      </c>
    </row>
    <row r="107" spans="1:10" ht="27.95" customHeight="1" x14ac:dyDescent="0.25">
      <c r="A107" s="20" t="s">
        <v>467</v>
      </c>
      <c r="B107" s="20" t="s">
        <v>469</v>
      </c>
      <c r="C107" s="20" t="s">
        <v>68</v>
      </c>
      <c r="D107" s="20" t="s">
        <v>2136</v>
      </c>
      <c r="E107" s="20" t="s">
        <v>2137</v>
      </c>
      <c r="F107" s="20" t="s">
        <v>468</v>
      </c>
      <c r="G107" s="20" t="s">
        <v>83</v>
      </c>
      <c r="H107" s="20" t="s">
        <v>2138</v>
      </c>
      <c r="I107" s="20" t="s">
        <v>2139</v>
      </c>
      <c r="J107" s="20" t="s">
        <v>2140</v>
      </c>
    </row>
    <row r="108" spans="1:10" ht="27.95" customHeight="1" x14ac:dyDescent="0.25">
      <c r="A108" s="20" t="s">
        <v>471</v>
      </c>
      <c r="B108" s="20" t="s">
        <v>474</v>
      </c>
      <c r="C108" s="20" t="s">
        <v>473</v>
      </c>
      <c r="D108" s="20" t="s">
        <v>2169</v>
      </c>
      <c r="E108" s="20" t="s">
        <v>2170</v>
      </c>
      <c r="F108" s="20" t="s">
        <v>472</v>
      </c>
      <c r="G108" s="20" t="s">
        <v>83</v>
      </c>
      <c r="H108" s="20" t="s">
        <v>2138</v>
      </c>
      <c r="I108" s="20" t="s">
        <v>2139</v>
      </c>
      <c r="J108" s="20" t="s">
        <v>2140</v>
      </c>
    </row>
    <row r="109" spans="1:10" ht="27.95" customHeight="1" x14ac:dyDescent="0.25">
      <c r="A109" s="20" t="s">
        <v>476</v>
      </c>
      <c r="B109" s="20" t="s">
        <v>478</v>
      </c>
      <c r="C109" s="20" t="s">
        <v>473</v>
      </c>
      <c r="D109" s="20" t="s">
        <v>2169</v>
      </c>
      <c r="E109" s="20" t="s">
        <v>2170</v>
      </c>
      <c r="F109" s="20" t="s">
        <v>477</v>
      </c>
      <c r="G109" s="20" t="s">
        <v>83</v>
      </c>
      <c r="H109" s="20" t="s">
        <v>2138</v>
      </c>
      <c r="I109" s="20" t="s">
        <v>2139</v>
      </c>
      <c r="J109" s="20" t="s">
        <v>2140</v>
      </c>
    </row>
    <row r="110" spans="1:10" ht="27.95" customHeight="1" x14ac:dyDescent="0.25">
      <c r="A110" s="20" t="s">
        <v>480</v>
      </c>
      <c r="B110" s="20" t="s">
        <v>482</v>
      </c>
      <c r="C110" s="20" t="s">
        <v>473</v>
      </c>
      <c r="D110" s="20" t="s">
        <v>2169</v>
      </c>
      <c r="E110" s="20" t="s">
        <v>2170</v>
      </c>
      <c r="F110" s="20" t="s">
        <v>481</v>
      </c>
      <c r="G110" s="20" t="s">
        <v>83</v>
      </c>
      <c r="H110" s="20" t="s">
        <v>2138</v>
      </c>
      <c r="I110" s="20" t="s">
        <v>2139</v>
      </c>
      <c r="J110" s="20" t="s">
        <v>2140</v>
      </c>
    </row>
    <row r="111" spans="1:10" ht="27.95" customHeight="1" x14ac:dyDescent="0.25">
      <c r="A111" s="20" t="s">
        <v>484</v>
      </c>
      <c r="B111" s="20" t="s">
        <v>486</v>
      </c>
      <c r="C111" s="20" t="s">
        <v>473</v>
      </c>
      <c r="D111" s="20" t="s">
        <v>2169</v>
      </c>
      <c r="E111" s="20" t="s">
        <v>2170</v>
      </c>
      <c r="F111" s="20" t="s">
        <v>485</v>
      </c>
      <c r="G111" s="20" t="s">
        <v>83</v>
      </c>
      <c r="H111" s="20" t="s">
        <v>2138</v>
      </c>
      <c r="I111" s="20" t="s">
        <v>2139</v>
      </c>
      <c r="J111" s="20" t="s">
        <v>2140</v>
      </c>
    </row>
    <row r="112" spans="1:10" ht="27.95" customHeight="1" x14ac:dyDescent="0.25">
      <c r="A112" s="20" t="s">
        <v>488</v>
      </c>
      <c r="B112" s="20" t="s">
        <v>490</v>
      </c>
      <c r="C112" s="20" t="s">
        <v>473</v>
      </c>
      <c r="D112" s="20" t="s">
        <v>2169</v>
      </c>
      <c r="E112" s="20" t="s">
        <v>2170</v>
      </c>
      <c r="F112" s="20" t="s">
        <v>489</v>
      </c>
      <c r="G112" s="20" t="s">
        <v>83</v>
      </c>
      <c r="H112" s="20" t="s">
        <v>2138</v>
      </c>
      <c r="I112" s="20" t="s">
        <v>2139</v>
      </c>
      <c r="J112" s="20" t="s">
        <v>2140</v>
      </c>
    </row>
    <row r="113" spans="1:10" ht="27.95" customHeight="1" x14ac:dyDescent="0.25">
      <c r="A113" s="20" t="s">
        <v>492</v>
      </c>
      <c r="B113" s="20" t="s">
        <v>494</v>
      </c>
      <c r="C113" s="20" t="s">
        <v>473</v>
      </c>
      <c r="D113" s="20" t="s">
        <v>2169</v>
      </c>
      <c r="E113" s="20" t="s">
        <v>2170</v>
      </c>
      <c r="F113" s="20" t="s">
        <v>493</v>
      </c>
      <c r="G113" s="20" t="s">
        <v>83</v>
      </c>
      <c r="H113" s="20" t="s">
        <v>2138</v>
      </c>
      <c r="I113" s="20" t="s">
        <v>2139</v>
      </c>
      <c r="J113" s="20" t="s">
        <v>2140</v>
      </c>
    </row>
    <row r="114" spans="1:10" ht="27.95" customHeight="1" x14ac:dyDescent="0.25">
      <c r="A114" s="20" t="s">
        <v>496</v>
      </c>
      <c r="B114" s="20" t="s">
        <v>499</v>
      </c>
      <c r="C114" s="20" t="s">
        <v>498</v>
      </c>
      <c r="D114" s="20" t="s">
        <v>2171</v>
      </c>
      <c r="E114" s="20" t="s">
        <v>2172</v>
      </c>
      <c r="F114" s="20" t="s">
        <v>497</v>
      </c>
      <c r="G114" s="20" t="s">
        <v>500</v>
      </c>
      <c r="H114" s="20" t="s">
        <v>2138</v>
      </c>
      <c r="I114" s="20" t="s">
        <v>2139</v>
      </c>
      <c r="J114" s="20" t="s">
        <v>2140</v>
      </c>
    </row>
    <row r="115" spans="1:10" ht="27.95" customHeight="1" x14ac:dyDescent="0.25">
      <c r="A115" s="20" t="s">
        <v>502</v>
      </c>
      <c r="B115" s="20" t="s">
        <v>504</v>
      </c>
      <c r="C115" s="20" t="s">
        <v>498</v>
      </c>
      <c r="D115" s="20" t="s">
        <v>2171</v>
      </c>
      <c r="E115" s="20" t="s">
        <v>2172</v>
      </c>
      <c r="F115" s="20" t="s">
        <v>503</v>
      </c>
      <c r="G115" s="20" t="s">
        <v>500</v>
      </c>
      <c r="H115" s="20" t="s">
        <v>2138</v>
      </c>
      <c r="I115" s="20" t="s">
        <v>2139</v>
      </c>
      <c r="J115" s="20" t="s">
        <v>2140</v>
      </c>
    </row>
    <row r="116" spans="1:10" ht="27.95" customHeight="1" x14ac:dyDescent="0.25">
      <c r="A116" s="20" t="s">
        <v>506</v>
      </c>
      <c r="B116" s="20" t="s">
        <v>508</v>
      </c>
      <c r="C116" s="20" t="s">
        <v>498</v>
      </c>
      <c r="D116" s="20" t="s">
        <v>2171</v>
      </c>
      <c r="E116" s="20" t="s">
        <v>2172</v>
      </c>
      <c r="F116" s="20" t="s">
        <v>507</v>
      </c>
      <c r="G116" s="20" t="s">
        <v>151</v>
      </c>
      <c r="H116" s="20" t="s">
        <v>2138</v>
      </c>
      <c r="I116" s="20" t="s">
        <v>2139</v>
      </c>
      <c r="J116" s="20" t="s">
        <v>2140</v>
      </c>
    </row>
    <row r="117" spans="1:10" ht="27.95" customHeight="1" x14ac:dyDescent="0.25">
      <c r="A117" s="20" t="s">
        <v>510</v>
      </c>
      <c r="B117" s="20" t="s">
        <v>512</v>
      </c>
      <c r="C117" s="20" t="s">
        <v>498</v>
      </c>
      <c r="D117" s="20" t="s">
        <v>2171</v>
      </c>
      <c r="E117" s="20" t="s">
        <v>2172</v>
      </c>
      <c r="F117" s="20" t="s">
        <v>511</v>
      </c>
      <c r="G117" s="20" t="s">
        <v>270</v>
      </c>
      <c r="H117" s="20" t="s">
        <v>2138</v>
      </c>
      <c r="I117" s="20" t="s">
        <v>2139</v>
      </c>
      <c r="J117" s="20" t="s">
        <v>2140</v>
      </c>
    </row>
    <row r="118" spans="1:10" ht="27.95" customHeight="1" x14ac:dyDescent="0.25">
      <c r="A118" s="20" t="s">
        <v>514</v>
      </c>
      <c r="B118" s="20" t="s">
        <v>516</v>
      </c>
      <c r="C118" s="20" t="s">
        <v>498</v>
      </c>
      <c r="D118" s="20" t="s">
        <v>2171</v>
      </c>
      <c r="E118" s="20" t="s">
        <v>2172</v>
      </c>
      <c r="F118" s="20" t="s">
        <v>515</v>
      </c>
      <c r="G118" s="20" t="s">
        <v>517</v>
      </c>
      <c r="H118" s="20" t="s">
        <v>2138</v>
      </c>
      <c r="I118" s="20" t="s">
        <v>2139</v>
      </c>
      <c r="J118" s="20" t="s">
        <v>2140</v>
      </c>
    </row>
    <row r="119" spans="1:10" ht="27.95" customHeight="1" x14ac:dyDescent="0.25">
      <c r="A119" s="20" t="s">
        <v>519</v>
      </c>
      <c r="B119" s="20" t="s">
        <v>521</v>
      </c>
      <c r="C119" s="20" t="s">
        <v>258</v>
      </c>
      <c r="D119" s="20" t="s">
        <v>2155</v>
      </c>
      <c r="E119" s="20" t="s">
        <v>2156</v>
      </c>
      <c r="F119" s="20" t="s">
        <v>520</v>
      </c>
      <c r="G119" s="20" t="s">
        <v>270</v>
      </c>
      <c r="H119" s="20" t="s">
        <v>2138</v>
      </c>
      <c r="I119" s="20" t="s">
        <v>2139</v>
      </c>
      <c r="J119" s="20" t="s">
        <v>2140</v>
      </c>
    </row>
    <row r="120" spans="1:10" ht="27.95" customHeight="1" x14ac:dyDescent="0.25">
      <c r="A120" s="20" t="s">
        <v>523</v>
      </c>
      <c r="B120" s="20" t="s">
        <v>525</v>
      </c>
      <c r="C120" s="20" t="s">
        <v>258</v>
      </c>
      <c r="D120" s="20" t="s">
        <v>2155</v>
      </c>
      <c r="E120" s="20" t="s">
        <v>2156</v>
      </c>
      <c r="F120" s="20" t="s">
        <v>524</v>
      </c>
      <c r="G120" s="20" t="s">
        <v>270</v>
      </c>
      <c r="H120" s="20" t="s">
        <v>2138</v>
      </c>
      <c r="I120" s="20" t="s">
        <v>2139</v>
      </c>
      <c r="J120" s="20" t="s">
        <v>2140</v>
      </c>
    </row>
    <row r="121" spans="1:10" ht="27.95" customHeight="1" x14ac:dyDescent="0.25">
      <c r="A121" s="20" t="s">
        <v>527</v>
      </c>
      <c r="B121" s="20" t="s">
        <v>529</v>
      </c>
      <c r="C121" s="20" t="s">
        <v>258</v>
      </c>
      <c r="D121" s="20" t="s">
        <v>2155</v>
      </c>
      <c r="E121" s="20" t="s">
        <v>2156</v>
      </c>
      <c r="F121" s="20" t="s">
        <v>528</v>
      </c>
      <c r="G121" s="20" t="s">
        <v>83</v>
      </c>
      <c r="H121" s="20" t="s">
        <v>2138</v>
      </c>
      <c r="I121" s="20" t="s">
        <v>2139</v>
      </c>
      <c r="J121" s="20" t="s">
        <v>2140</v>
      </c>
    </row>
    <row r="122" spans="1:10" ht="27.95" customHeight="1" x14ac:dyDescent="0.25">
      <c r="A122" s="20" t="s">
        <v>531</v>
      </c>
      <c r="B122" s="20" t="s">
        <v>533</v>
      </c>
      <c r="C122" s="20" t="s">
        <v>258</v>
      </c>
      <c r="D122" s="20" t="s">
        <v>2155</v>
      </c>
      <c r="E122" s="20" t="s">
        <v>2156</v>
      </c>
      <c r="F122" s="20" t="s">
        <v>532</v>
      </c>
      <c r="G122" s="20" t="s">
        <v>270</v>
      </c>
      <c r="H122" s="20" t="s">
        <v>2138</v>
      </c>
      <c r="I122" s="20" t="s">
        <v>2139</v>
      </c>
      <c r="J122" s="20" t="s">
        <v>2140</v>
      </c>
    </row>
    <row r="123" spans="1:10" ht="27.95" customHeight="1" x14ac:dyDescent="0.25">
      <c r="A123" s="20" t="s">
        <v>535</v>
      </c>
      <c r="B123" s="20" t="s">
        <v>537</v>
      </c>
      <c r="C123" s="20" t="s">
        <v>160</v>
      </c>
      <c r="D123" s="20" t="s">
        <v>2147</v>
      </c>
      <c r="E123" s="20" t="s">
        <v>2148</v>
      </c>
      <c r="F123" s="20" t="s">
        <v>536</v>
      </c>
      <c r="G123" s="20" t="s">
        <v>143</v>
      </c>
      <c r="H123" s="20" t="s">
        <v>2138</v>
      </c>
      <c r="I123" s="20" t="s">
        <v>2139</v>
      </c>
      <c r="J123" s="20" t="s">
        <v>2140</v>
      </c>
    </row>
    <row r="124" spans="1:10" ht="27.95" customHeight="1" x14ac:dyDescent="0.25">
      <c r="A124" s="20" t="s">
        <v>539</v>
      </c>
      <c r="B124" s="20" t="s">
        <v>541</v>
      </c>
      <c r="C124" s="20" t="s">
        <v>160</v>
      </c>
      <c r="D124" s="20" t="s">
        <v>2147</v>
      </c>
      <c r="E124" s="20" t="s">
        <v>2148</v>
      </c>
      <c r="F124" s="20" t="s">
        <v>540</v>
      </c>
      <c r="G124" s="20" t="s">
        <v>143</v>
      </c>
      <c r="H124" s="20" t="s">
        <v>2138</v>
      </c>
      <c r="I124" s="20" t="s">
        <v>2139</v>
      </c>
      <c r="J124" s="20" t="s">
        <v>2140</v>
      </c>
    </row>
    <row r="125" spans="1:10" ht="27.95" customHeight="1" x14ac:dyDescent="0.25">
      <c r="A125" s="20" t="s">
        <v>543</v>
      </c>
      <c r="B125" s="20" t="s">
        <v>545</v>
      </c>
      <c r="C125" s="20" t="s">
        <v>230</v>
      </c>
      <c r="D125" s="20" t="s">
        <v>2153</v>
      </c>
      <c r="E125" s="20" t="s">
        <v>2154</v>
      </c>
      <c r="F125" s="20" t="s">
        <v>544</v>
      </c>
      <c r="G125" s="20" t="s">
        <v>224</v>
      </c>
      <c r="H125" s="20" t="s">
        <v>2138</v>
      </c>
      <c r="I125" s="20" t="s">
        <v>2139</v>
      </c>
      <c r="J125" s="20" t="s">
        <v>2140</v>
      </c>
    </row>
    <row r="126" spans="1:10" ht="27.95" customHeight="1" x14ac:dyDescent="0.25">
      <c r="A126" s="20" t="s">
        <v>547</v>
      </c>
      <c r="B126" s="20" t="s">
        <v>549</v>
      </c>
      <c r="C126" s="20" t="s">
        <v>230</v>
      </c>
      <c r="D126" s="20" t="s">
        <v>2153</v>
      </c>
      <c r="E126" s="20" t="s">
        <v>2154</v>
      </c>
      <c r="F126" s="20" t="s">
        <v>548</v>
      </c>
      <c r="G126" s="20" t="s">
        <v>151</v>
      </c>
      <c r="H126" s="20" t="s">
        <v>2138</v>
      </c>
      <c r="I126" s="20" t="s">
        <v>2139</v>
      </c>
      <c r="J126" s="20" t="s">
        <v>2140</v>
      </c>
    </row>
    <row r="127" spans="1:10" ht="27.95" customHeight="1" x14ac:dyDescent="0.25">
      <c r="A127" s="20" t="s">
        <v>551</v>
      </c>
      <c r="B127" s="20" t="s">
        <v>553</v>
      </c>
      <c r="C127" s="20" t="s">
        <v>230</v>
      </c>
      <c r="D127" s="20" t="s">
        <v>2153</v>
      </c>
      <c r="E127" s="20" t="s">
        <v>2154</v>
      </c>
      <c r="F127" s="20" t="s">
        <v>552</v>
      </c>
      <c r="G127" s="20" t="s">
        <v>224</v>
      </c>
      <c r="H127" s="20" t="s">
        <v>2138</v>
      </c>
      <c r="I127" s="20" t="s">
        <v>2139</v>
      </c>
      <c r="J127" s="20" t="s">
        <v>2140</v>
      </c>
    </row>
    <row r="128" spans="1:10" ht="27.95" customHeight="1" x14ac:dyDescent="0.25">
      <c r="A128" s="20" t="s">
        <v>555</v>
      </c>
      <c r="B128" s="20" t="s">
        <v>557</v>
      </c>
      <c r="C128" s="20" t="s">
        <v>286</v>
      </c>
      <c r="D128" s="20" t="s">
        <v>2157</v>
      </c>
      <c r="E128" s="20" t="s">
        <v>2158</v>
      </c>
      <c r="F128" s="20" t="s">
        <v>556</v>
      </c>
      <c r="G128" s="20" t="s">
        <v>128</v>
      </c>
      <c r="H128" s="20" t="s">
        <v>2138</v>
      </c>
      <c r="I128" s="20" t="s">
        <v>2139</v>
      </c>
      <c r="J128" s="20" t="s">
        <v>2140</v>
      </c>
    </row>
    <row r="129" spans="1:10" ht="27.95" customHeight="1" x14ac:dyDescent="0.25">
      <c r="A129" s="20" t="s">
        <v>559</v>
      </c>
      <c r="B129" s="20" t="s">
        <v>561</v>
      </c>
      <c r="C129" s="20" t="s">
        <v>314</v>
      </c>
      <c r="D129" s="20" t="s">
        <v>2159</v>
      </c>
      <c r="E129" s="20" t="s">
        <v>2160</v>
      </c>
      <c r="F129" s="20" t="s">
        <v>560</v>
      </c>
      <c r="G129" s="20" t="s">
        <v>239</v>
      </c>
      <c r="H129" s="20" t="s">
        <v>2138</v>
      </c>
      <c r="I129" s="20" t="s">
        <v>2139</v>
      </c>
      <c r="J129" s="20" t="s">
        <v>2140</v>
      </c>
    </row>
    <row r="130" spans="1:10" ht="27.95" customHeight="1" x14ac:dyDescent="0.25">
      <c r="A130" s="20" t="s">
        <v>563</v>
      </c>
      <c r="B130" s="20" t="s">
        <v>565</v>
      </c>
      <c r="C130" s="20" t="s">
        <v>431</v>
      </c>
      <c r="D130" s="20" t="s">
        <v>2167</v>
      </c>
      <c r="E130" s="20" t="s">
        <v>2168</v>
      </c>
      <c r="F130" s="20" t="s">
        <v>564</v>
      </c>
      <c r="G130" s="20" t="s">
        <v>239</v>
      </c>
      <c r="H130" s="20" t="s">
        <v>2138</v>
      </c>
      <c r="I130" s="20" t="s">
        <v>2139</v>
      </c>
      <c r="J130" s="20" t="s">
        <v>2140</v>
      </c>
    </row>
    <row r="131" spans="1:10" ht="27.95" customHeight="1" x14ac:dyDescent="0.25">
      <c r="A131" s="20" t="s">
        <v>567</v>
      </c>
      <c r="B131" s="20" t="s">
        <v>570</v>
      </c>
      <c r="C131" s="20" t="s">
        <v>569</v>
      </c>
      <c r="D131" s="20" t="s">
        <v>2173</v>
      </c>
      <c r="E131" s="20" t="s">
        <v>2174</v>
      </c>
      <c r="F131" s="20" t="s">
        <v>568</v>
      </c>
      <c r="G131" s="20" t="s">
        <v>83</v>
      </c>
      <c r="H131" s="20" t="s">
        <v>2138</v>
      </c>
      <c r="I131" s="20" t="s">
        <v>2139</v>
      </c>
      <c r="J131" s="20" t="s">
        <v>2140</v>
      </c>
    </row>
    <row r="132" spans="1:10" ht="27.95" customHeight="1" x14ac:dyDescent="0.25">
      <c r="A132" s="20" t="s">
        <v>571</v>
      </c>
      <c r="B132" s="20" t="s">
        <v>573</v>
      </c>
      <c r="C132" s="20" t="s">
        <v>569</v>
      </c>
      <c r="D132" s="20" t="s">
        <v>2173</v>
      </c>
      <c r="E132" s="20" t="s">
        <v>2174</v>
      </c>
      <c r="F132" s="20" t="s">
        <v>572</v>
      </c>
      <c r="G132" s="20" t="s">
        <v>83</v>
      </c>
      <c r="H132" s="20" t="s">
        <v>2138</v>
      </c>
      <c r="I132" s="20" t="s">
        <v>2139</v>
      </c>
      <c r="J132" s="20" t="s">
        <v>2140</v>
      </c>
    </row>
    <row r="133" spans="1:10" ht="27.95" customHeight="1" x14ac:dyDescent="0.25">
      <c r="A133" s="20" t="s">
        <v>575</v>
      </c>
      <c r="B133" s="20" t="s">
        <v>577</v>
      </c>
      <c r="C133" s="20" t="s">
        <v>569</v>
      </c>
      <c r="D133" s="20" t="s">
        <v>2173</v>
      </c>
      <c r="E133" s="20" t="s">
        <v>2174</v>
      </c>
      <c r="F133" s="20" t="s">
        <v>576</v>
      </c>
      <c r="G133" s="20" t="s">
        <v>578</v>
      </c>
      <c r="H133" s="20" t="s">
        <v>2138</v>
      </c>
      <c r="I133" s="20" t="s">
        <v>2139</v>
      </c>
      <c r="J133" s="20" t="s">
        <v>2140</v>
      </c>
    </row>
    <row r="134" spans="1:10" ht="27.95" customHeight="1" x14ac:dyDescent="0.25">
      <c r="A134" s="20" t="s">
        <v>579</v>
      </c>
      <c r="B134" s="20" t="s">
        <v>581</v>
      </c>
      <c r="C134" s="20" t="s">
        <v>569</v>
      </c>
      <c r="D134" s="20" t="s">
        <v>2173</v>
      </c>
      <c r="E134" s="20" t="s">
        <v>2174</v>
      </c>
      <c r="F134" s="20" t="s">
        <v>580</v>
      </c>
      <c r="G134" s="20" t="s">
        <v>83</v>
      </c>
      <c r="H134" s="20" t="s">
        <v>2138</v>
      </c>
      <c r="I134" s="20" t="s">
        <v>2139</v>
      </c>
      <c r="J134" s="20" t="s">
        <v>2140</v>
      </c>
    </row>
  </sheetData>
  <mergeCells count="2">
    <mergeCell ref="A1:J1"/>
    <mergeCell ref="A2:J2"/>
  </mergeCells>
  <conditionalFormatting sqref="I4:I134">
    <cfRule type="expression" dxfId="23" priority="1">
      <formula>$I4="✅ Verificado"</formula>
    </cfRule>
    <cfRule type="expression" dxfId="22" priority="2">
      <formula>$I4="✅ Trazado"</formula>
    </cfRule>
    <cfRule type="expression" dxfId="21" priority="3">
      <formula>$I4="✅ Documentado"</formula>
    </cfRule>
    <cfRule type="expression" dxfId="20" priority="4">
      <formula>$I4="🧪 Planificado"</formula>
    </cfRule>
    <cfRule type="expression" dxfId="19" priority="5">
      <formula>$I4="⚠ Validar brecha v2.0"</formula>
    </cfRule>
    <cfRule type="expression" dxfId="18" priority="6">
      <formula>$I4="⏳ Pendiente"</formula>
    </cfRule>
    <cfRule type="expression" dxfId="17" priority="7">
      <formula>$I4="🔄 En Progreso"</formula>
    </cfRule>
    <cfRule type="expression" dxfId="16" priority="8">
      <formula>$I4="❌ No Cumplido"</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5"/>
  <sheetViews>
    <sheetView workbookViewId="0"/>
  </sheetViews>
  <sheetFormatPr baseColWidth="10" defaultColWidth="9.140625" defaultRowHeight="15" x14ac:dyDescent="0.25"/>
  <cols>
    <col min="1" max="1" width="12" customWidth="1"/>
    <col min="2" max="2" width="30" customWidth="1"/>
    <col min="3" max="3" width="34" customWidth="1"/>
    <col min="4" max="4" width="90" customWidth="1"/>
    <col min="5" max="6" width="18" customWidth="1"/>
    <col min="7" max="7" width="44" customWidth="1"/>
  </cols>
  <sheetData>
    <row r="1" spans="1:7" ht="27.95" customHeight="1" x14ac:dyDescent="0.25">
      <c r="A1" s="66" t="s">
        <v>2175</v>
      </c>
      <c r="B1" s="66"/>
      <c r="C1" s="66"/>
      <c r="D1" s="66"/>
      <c r="E1" s="66"/>
      <c r="F1" s="66"/>
      <c r="G1" s="66"/>
    </row>
    <row r="2" spans="1:7" ht="21.95" customHeight="1" x14ac:dyDescent="0.25">
      <c r="A2" s="57" t="s">
        <v>2176</v>
      </c>
      <c r="B2" s="57"/>
      <c r="C2" s="57"/>
      <c r="D2" s="57"/>
      <c r="E2" s="57"/>
      <c r="F2" s="57"/>
      <c r="G2" s="57"/>
    </row>
    <row r="3" spans="1:7" ht="30" customHeight="1" x14ac:dyDescent="0.25">
      <c r="A3" s="21" t="s">
        <v>587</v>
      </c>
      <c r="B3" s="21" t="s">
        <v>2177</v>
      </c>
      <c r="C3" s="21" t="s">
        <v>589</v>
      </c>
      <c r="D3" s="21" t="s">
        <v>2178</v>
      </c>
      <c r="E3" s="21" t="s">
        <v>2179</v>
      </c>
      <c r="F3" s="21" t="s">
        <v>16</v>
      </c>
      <c r="G3" s="21" t="s">
        <v>65</v>
      </c>
    </row>
    <row r="4" spans="1:7" ht="38.1" customHeight="1" x14ac:dyDescent="0.25">
      <c r="A4" s="20" t="s">
        <v>679</v>
      </c>
      <c r="B4" s="20" t="s">
        <v>680</v>
      </c>
      <c r="C4" s="20" t="s">
        <v>681</v>
      </c>
      <c r="D4" s="20" t="s">
        <v>2180</v>
      </c>
      <c r="E4" s="20" t="s">
        <v>71</v>
      </c>
      <c r="F4" s="20" t="s">
        <v>25</v>
      </c>
      <c r="G4" s="20" t="s">
        <v>2181</v>
      </c>
    </row>
    <row r="5" spans="1:7" ht="38.1" customHeight="1" x14ac:dyDescent="0.25">
      <c r="A5" s="20" t="s">
        <v>594</v>
      </c>
      <c r="B5" s="20" t="s">
        <v>595</v>
      </c>
      <c r="C5" s="20" t="s">
        <v>595</v>
      </c>
      <c r="D5" s="20" t="s">
        <v>2182</v>
      </c>
      <c r="E5" s="20" t="s">
        <v>71</v>
      </c>
      <c r="F5" s="20" t="s">
        <v>25</v>
      </c>
      <c r="G5" s="20" t="s">
        <v>2181</v>
      </c>
    </row>
    <row r="6" spans="1:7" ht="38.1" customHeight="1" x14ac:dyDescent="0.25">
      <c r="A6" s="20" t="s">
        <v>2183</v>
      </c>
      <c r="B6" s="20" t="s">
        <v>2184</v>
      </c>
      <c r="C6" s="20" t="s">
        <v>689</v>
      </c>
      <c r="D6" s="20" t="s">
        <v>2185</v>
      </c>
      <c r="E6" s="20" t="s">
        <v>71</v>
      </c>
      <c r="F6" s="20" t="s">
        <v>25</v>
      </c>
      <c r="G6" s="20" t="s">
        <v>2181</v>
      </c>
    </row>
    <row r="7" spans="1:7" ht="38.1" customHeight="1" x14ac:dyDescent="0.25">
      <c r="A7" s="20" t="s">
        <v>2186</v>
      </c>
      <c r="B7" s="20" t="s">
        <v>2187</v>
      </c>
      <c r="C7" s="20" t="s">
        <v>2188</v>
      </c>
      <c r="D7" s="20" t="s">
        <v>2189</v>
      </c>
      <c r="E7" s="20" t="s">
        <v>78</v>
      </c>
      <c r="F7" s="20" t="s">
        <v>25</v>
      </c>
      <c r="G7" s="20" t="s">
        <v>2181</v>
      </c>
    </row>
    <row r="8" spans="1:7" ht="38.1" customHeight="1" x14ac:dyDescent="0.25">
      <c r="A8" s="20" t="s">
        <v>1094</v>
      </c>
      <c r="B8" s="20" t="s">
        <v>1095</v>
      </c>
      <c r="C8" s="20" t="s">
        <v>1096</v>
      </c>
      <c r="D8" s="20" t="s">
        <v>2190</v>
      </c>
      <c r="E8" s="20" t="s">
        <v>78</v>
      </c>
      <c r="F8" s="20" t="s">
        <v>25</v>
      </c>
      <c r="G8" s="20" t="s">
        <v>2181</v>
      </c>
    </row>
    <row r="9" spans="1:7" ht="38.1" customHeight="1" x14ac:dyDescent="0.25">
      <c r="A9" s="20" t="s">
        <v>2191</v>
      </c>
      <c r="B9" s="20" t="s">
        <v>2192</v>
      </c>
      <c r="C9" s="20" t="s">
        <v>2192</v>
      </c>
      <c r="D9" s="20" t="s">
        <v>2193</v>
      </c>
      <c r="E9" s="20" t="s">
        <v>78</v>
      </c>
      <c r="F9" s="20" t="s">
        <v>25</v>
      </c>
      <c r="G9" s="20" t="s">
        <v>2181</v>
      </c>
    </row>
    <row r="10" spans="1:7" ht="38.1" customHeight="1" x14ac:dyDescent="0.25">
      <c r="A10" s="20" t="s">
        <v>962</v>
      </c>
      <c r="B10" s="20" t="s">
        <v>963</v>
      </c>
      <c r="C10" s="20" t="s">
        <v>860</v>
      </c>
      <c r="D10" s="20" t="s">
        <v>2194</v>
      </c>
      <c r="E10" s="20" t="s">
        <v>71</v>
      </c>
      <c r="F10" s="20" t="s">
        <v>25</v>
      </c>
      <c r="G10" s="20" t="s">
        <v>2181</v>
      </c>
    </row>
    <row r="11" spans="1:7" ht="38.1" customHeight="1" x14ac:dyDescent="0.25">
      <c r="A11" s="20" t="s">
        <v>683</v>
      </c>
      <c r="B11" s="20" t="s">
        <v>684</v>
      </c>
      <c r="C11" s="20" t="s">
        <v>685</v>
      </c>
      <c r="D11" s="20" t="s">
        <v>2195</v>
      </c>
      <c r="E11" s="20" t="s">
        <v>71</v>
      </c>
      <c r="F11" s="20" t="s">
        <v>25</v>
      </c>
      <c r="G11" s="20" t="s">
        <v>2181</v>
      </c>
    </row>
    <row r="12" spans="1:7" ht="38.1" customHeight="1" x14ac:dyDescent="0.25">
      <c r="A12" s="20" t="s">
        <v>847</v>
      </c>
      <c r="B12" s="20" t="s">
        <v>848</v>
      </c>
      <c r="C12" s="20" t="s">
        <v>849</v>
      </c>
      <c r="D12" s="20" t="s">
        <v>2196</v>
      </c>
      <c r="E12" s="20" t="s">
        <v>71</v>
      </c>
      <c r="F12" s="20" t="s">
        <v>25</v>
      </c>
      <c r="G12" s="20" t="s">
        <v>2181</v>
      </c>
    </row>
    <row r="13" spans="1:7" ht="38.1" customHeight="1" x14ac:dyDescent="0.25">
      <c r="A13" s="20" t="s">
        <v>598</v>
      </c>
      <c r="B13" s="20" t="s">
        <v>599</v>
      </c>
      <c r="C13" s="20" t="s">
        <v>595</v>
      </c>
      <c r="D13" s="20" t="s">
        <v>2197</v>
      </c>
      <c r="E13" s="20" t="s">
        <v>71</v>
      </c>
      <c r="F13" s="20" t="s">
        <v>25</v>
      </c>
      <c r="G13" s="20" t="s">
        <v>2181</v>
      </c>
    </row>
    <row r="14" spans="1:7" ht="38.1" customHeight="1" x14ac:dyDescent="0.25">
      <c r="A14" s="20" t="s">
        <v>687</v>
      </c>
      <c r="B14" s="20" t="s">
        <v>688</v>
      </c>
      <c r="C14" s="20" t="s">
        <v>689</v>
      </c>
      <c r="D14" s="20" t="s">
        <v>2198</v>
      </c>
      <c r="E14" s="20" t="s">
        <v>71</v>
      </c>
      <c r="F14" s="20" t="s">
        <v>25</v>
      </c>
      <c r="G14" s="20" t="s">
        <v>2181</v>
      </c>
    </row>
    <row r="15" spans="1:7" ht="38.1" customHeight="1" x14ac:dyDescent="0.25">
      <c r="A15" s="20" t="s">
        <v>2199</v>
      </c>
      <c r="B15" s="20" t="s">
        <v>2200</v>
      </c>
      <c r="C15" s="20" t="s">
        <v>689</v>
      </c>
      <c r="D15" s="20" t="s">
        <v>2201</v>
      </c>
      <c r="E15" s="20" t="s">
        <v>71</v>
      </c>
      <c r="F15" s="20" t="s">
        <v>25</v>
      </c>
      <c r="G15" s="20" t="s">
        <v>2181</v>
      </c>
    </row>
    <row r="16" spans="1:7" ht="38.1" customHeight="1" x14ac:dyDescent="0.25">
      <c r="A16" s="20" t="s">
        <v>601</v>
      </c>
      <c r="B16" s="20" t="s">
        <v>602</v>
      </c>
      <c r="C16" s="20" t="s">
        <v>603</v>
      </c>
      <c r="D16" s="20" t="s">
        <v>2202</v>
      </c>
      <c r="E16" s="20" t="s">
        <v>71</v>
      </c>
      <c r="F16" s="20" t="s">
        <v>25</v>
      </c>
      <c r="G16" s="20" t="s">
        <v>2181</v>
      </c>
    </row>
    <row r="17" spans="1:7" ht="38.1" customHeight="1" x14ac:dyDescent="0.25">
      <c r="A17" s="20" t="s">
        <v>654</v>
      </c>
      <c r="B17" s="20" t="s">
        <v>655</v>
      </c>
      <c r="C17" s="20" t="s">
        <v>595</v>
      </c>
      <c r="D17" s="20" t="s">
        <v>2203</v>
      </c>
      <c r="E17" s="20" t="s">
        <v>78</v>
      </c>
      <c r="F17" s="20" t="s">
        <v>25</v>
      </c>
      <c r="G17" s="20" t="s">
        <v>2181</v>
      </c>
    </row>
    <row r="18" spans="1:7" ht="38.1" customHeight="1" x14ac:dyDescent="0.25">
      <c r="A18" s="20" t="s">
        <v>2204</v>
      </c>
      <c r="B18" s="20" t="s">
        <v>860</v>
      </c>
      <c r="C18" s="20" t="s">
        <v>860</v>
      </c>
      <c r="D18" s="20" t="s">
        <v>2205</v>
      </c>
      <c r="E18" s="20" t="s">
        <v>78</v>
      </c>
      <c r="F18" s="20" t="s">
        <v>25</v>
      </c>
      <c r="G18" s="20" t="s">
        <v>2181</v>
      </c>
    </row>
    <row r="19" spans="1:7" ht="38.1" customHeight="1" x14ac:dyDescent="0.25">
      <c r="A19" s="20" t="s">
        <v>692</v>
      </c>
      <c r="B19" s="20" t="s">
        <v>693</v>
      </c>
      <c r="C19" s="20" t="s">
        <v>689</v>
      </c>
      <c r="D19" s="20" t="s">
        <v>2206</v>
      </c>
      <c r="E19" s="20" t="s">
        <v>71</v>
      </c>
      <c r="F19" s="20" t="s">
        <v>25</v>
      </c>
      <c r="G19" s="20" t="s">
        <v>2181</v>
      </c>
    </row>
    <row r="20" spans="1:7" ht="38.1" customHeight="1" x14ac:dyDescent="0.25">
      <c r="A20" s="20" t="s">
        <v>854</v>
      </c>
      <c r="B20" s="20" t="s">
        <v>855</v>
      </c>
      <c r="C20" s="20" t="s">
        <v>856</v>
      </c>
      <c r="D20" s="20" t="s">
        <v>2207</v>
      </c>
      <c r="E20" s="20" t="s">
        <v>78</v>
      </c>
      <c r="F20" s="20" t="s">
        <v>25</v>
      </c>
      <c r="G20" s="20" t="s">
        <v>2181</v>
      </c>
    </row>
    <row r="21" spans="1:7" ht="38.1" customHeight="1" x14ac:dyDescent="0.25">
      <c r="A21" s="20" t="s">
        <v>858</v>
      </c>
      <c r="B21" s="20" t="s">
        <v>859</v>
      </c>
      <c r="C21" s="20" t="s">
        <v>860</v>
      </c>
      <c r="D21" s="20" t="s">
        <v>2208</v>
      </c>
      <c r="E21" s="20" t="s">
        <v>71</v>
      </c>
      <c r="F21" s="20" t="s">
        <v>25</v>
      </c>
      <c r="G21" s="20" t="s">
        <v>2181</v>
      </c>
    </row>
    <row r="22" spans="1:7" ht="38.1" customHeight="1" x14ac:dyDescent="0.25">
      <c r="A22" s="20" t="s">
        <v>605</v>
      </c>
      <c r="B22" s="20" t="s">
        <v>606</v>
      </c>
      <c r="C22" s="20" t="s">
        <v>607</v>
      </c>
      <c r="D22" s="20" t="s">
        <v>2209</v>
      </c>
      <c r="E22" s="20" t="s">
        <v>78</v>
      </c>
      <c r="F22" s="20" t="s">
        <v>25</v>
      </c>
      <c r="G22" s="20" t="s">
        <v>2181</v>
      </c>
    </row>
    <row r="23" spans="1:7" ht="38.1" customHeight="1" x14ac:dyDescent="0.25">
      <c r="A23" s="20" t="s">
        <v>2210</v>
      </c>
      <c r="B23" s="20" t="s">
        <v>2211</v>
      </c>
      <c r="C23" s="20" t="s">
        <v>2192</v>
      </c>
      <c r="D23" s="20" t="s">
        <v>2212</v>
      </c>
      <c r="E23" s="20" t="s">
        <v>78</v>
      </c>
      <c r="F23" s="20" t="s">
        <v>25</v>
      </c>
      <c r="G23" s="20" t="s">
        <v>2181</v>
      </c>
    </row>
    <row r="24" spans="1:7" ht="38.1" customHeight="1" x14ac:dyDescent="0.25">
      <c r="A24" s="20" t="s">
        <v>2213</v>
      </c>
      <c r="B24" s="20" t="s">
        <v>2214</v>
      </c>
      <c r="C24" s="20" t="s">
        <v>2192</v>
      </c>
      <c r="D24" s="20" t="s">
        <v>2215</v>
      </c>
      <c r="E24" s="20" t="s">
        <v>78</v>
      </c>
      <c r="F24" s="20" t="s">
        <v>25</v>
      </c>
      <c r="G24" s="20" t="s">
        <v>2181</v>
      </c>
    </row>
    <row r="25" spans="1:7" ht="38.1" customHeight="1" x14ac:dyDescent="0.25">
      <c r="A25" s="20" t="s">
        <v>609</v>
      </c>
      <c r="B25" s="20" t="s">
        <v>610</v>
      </c>
      <c r="C25" s="20" t="s">
        <v>595</v>
      </c>
      <c r="D25" s="20" t="s">
        <v>2216</v>
      </c>
      <c r="E25" s="20" t="s">
        <v>71</v>
      </c>
      <c r="F25" s="20" t="s">
        <v>25</v>
      </c>
      <c r="G25" s="20" t="s">
        <v>2181</v>
      </c>
    </row>
  </sheetData>
  <mergeCells count="2">
    <mergeCell ref="A1:G1"/>
    <mergeCell ref="A2:G2"/>
  </mergeCells>
  <conditionalFormatting sqref="F4:F25">
    <cfRule type="expression" dxfId="15" priority="1">
      <formula>$F4="✅ Verificado"</formula>
    </cfRule>
    <cfRule type="expression" dxfId="14" priority="2">
      <formula>$F4="✅ Trazado"</formula>
    </cfRule>
    <cfRule type="expression" dxfId="13" priority="3">
      <formula>$F4="✅ Documentado"</formula>
    </cfRule>
    <cfRule type="expression" dxfId="12" priority="4">
      <formula>$F4="🧪 Planificado"</formula>
    </cfRule>
    <cfRule type="expression" dxfId="11" priority="5">
      <formula>$F4="⚠ Validar brecha v2.0"</formula>
    </cfRule>
    <cfRule type="expression" dxfId="10" priority="6">
      <formula>$F4="⏳ Pendiente"</formula>
    </cfRule>
    <cfRule type="expression" dxfId="9" priority="7">
      <formula>$F4="🔄 En Progreso"</formula>
    </cfRule>
    <cfRule type="expression" dxfId="8" priority="8">
      <formula>$F4="❌ No Cumplido"</formula>
    </cfRule>
  </conditionalFormatting>
  <dataValidations count="2">
    <dataValidation type="list" sqref="E4:E25" xr:uid="{00000000-0002-0000-0700-000000000000}">
      <formula1>"Alta,Media,Baja"</formula1>
    </dataValidation>
    <dataValidation type="list" sqref="F4:F25" xr:uid="{00000000-0002-0000-0700-000001000000}">
      <formula1>"✅ Verificado,🔄 En Progreso,⏳ Pendiente,❌ No Cumplido,🚫 Cancelado"</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0"/>
  <sheetViews>
    <sheetView tabSelected="1" workbookViewId="0">
      <selection sqref="A1:J1"/>
    </sheetView>
  </sheetViews>
  <sheetFormatPr baseColWidth="10" defaultColWidth="9.140625" defaultRowHeight="15" x14ac:dyDescent="0.25"/>
  <cols>
    <col min="1" max="1" width="10" customWidth="1"/>
    <col min="2" max="2" width="42" customWidth="1"/>
    <col min="3" max="3" width="12" customWidth="1"/>
    <col min="4" max="4" width="14" customWidth="1"/>
    <col min="5" max="5" width="16" customWidth="1"/>
    <col min="6" max="8" width="14" customWidth="1"/>
    <col min="9" max="9" width="18" customWidth="1"/>
    <col min="10" max="10" width="28" customWidth="1"/>
  </cols>
  <sheetData>
    <row r="1" spans="1:10" ht="27.95" customHeight="1" x14ac:dyDescent="0.25">
      <c r="A1" s="66" t="s">
        <v>2217</v>
      </c>
      <c r="B1" s="66"/>
      <c r="C1" s="66"/>
      <c r="D1" s="66"/>
      <c r="E1" s="66"/>
      <c r="F1" s="66"/>
      <c r="G1" s="66"/>
      <c r="H1" s="66"/>
      <c r="I1" s="66"/>
      <c r="J1" s="66"/>
    </row>
    <row r="2" spans="1:10" ht="21.95" customHeight="1" x14ac:dyDescent="0.25">
      <c r="A2" s="57" t="s">
        <v>2218</v>
      </c>
      <c r="B2" s="57"/>
      <c r="C2" s="57"/>
      <c r="D2" s="57"/>
      <c r="E2" s="57"/>
      <c r="F2" s="57"/>
      <c r="G2" s="57"/>
      <c r="H2" s="57"/>
      <c r="I2" s="57"/>
      <c r="J2" s="57"/>
    </row>
    <row r="3" spans="1:10" ht="30" customHeight="1" x14ac:dyDescent="0.25">
      <c r="A3" s="21" t="s">
        <v>2219</v>
      </c>
      <c r="B3" s="21" t="s">
        <v>59</v>
      </c>
      <c r="C3" s="21" t="s">
        <v>2093</v>
      </c>
      <c r="D3" s="21" t="s">
        <v>2220</v>
      </c>
      <c r="E3" s="21" t="s">
        <v>2221</v>
      </c>
      <c r="F3" s="21" t="s">
        <v>2222</v>
      </c>
      <c r="G3" s="21" t="s">
        <v>2223</v>
      </c>
      <c r="H3" s="21" t="s">
        <v>2224</v>
      </c>
      <c r="I3" s="21" t="s">
        <v>2225</v>
      </c>
      <c r="J3" s="21" t="s">
        <v>2226</v>
      </c>
    </row>
    <row r="4" spans="1:10" ht="27.95" customHeight="1" x14ac:dyDescent="0.25">
      <c r="A4" s="20" t="s">
        <v>2227</v>
      </c>
      <c r="B4" s="20" t="s">
        <v>68</v>
      </c>
      <c r="C4" s="20">
        <v>12</v>
      </c>
      <c r="D4" s="20">
        <v>9</v>
      </c>
      <c r="E4" s="20">
        <v>3</v>
      </c>
      <c r="F4" s="20">
        <v>6</v>
      </c>
      <c r="G4" s="20">
        <v>4</v>
      </c>
      <c r="H4" s="20">
        <v>2</v>
      </c>
      <c r="I4" s="20" t="s">
        <v>2136</v>
      </c>
      <c r="J4" s="20" t="s">
        <v>2228</v>
      </c>
    </row>
    <row r="5" spans="1:10" ht="27.95" customHeight="1" x14ac:dyDescent="0.25">
      <c r="A5" s="20" t="s">
        <v>2229</v>
      </c>
      <c r="B5" s="20" t="s">
        <v>107</v>
      </c>
      <c r="C5" s="20">
        <v>5</v>
      </c>
      <c r="D5" s="20">
        <v>5</v>
      </c>
      <c r="E5" s="20">
        <v>0</v>
      </c>
      <c r="F5" s="20">
        <v>2</v>
      </c>
      <c r="G5" s="20">
        <v>3</v>
      </c>
      <c r="H5" s="20">
        <v>0</v>
      </c>
      <c r="I5" s="20" t="s">
        <v>2143</v>
      </c>
      <c r="J5" s="20" t="s">
        <v>2228</v>
      </c>
    </row>
    <row r="6" spans="1:10" ht="27.95" customHeight="1" x14ac:dyDescent="0.25">
      <c r="A6" s="20" t="s">
        <v>2230</v>
      </c>
      <c r="B6" s="20" t="s">
        <v>569</v>
      </c>
      <c r="C6" s="20">
        <v>4</v>
      </c>
      <c r="D6" s="20">
        <v>0</v>
      </c>
      <c r="E6" s="20">
        <v>4</v>
      </c>
      <c r="F6" s="20">
        <v>3</v>
      </c>
      <c r="G6" s="20">
        <v>1</v>
      </c>
      <c r="H6" s="20">
        <v>0</v>
      </c>
      <c r="I6" s="20" t="s">
        <v>2173</v>
      </c>
      <c r="J6" s="20" t="s">
        <v>2228</v>
      </c>
    </row>
    <row r="7" spans="1:10" ht="27.95" customHeight="1" x14ac:dyDescent="0.25">
      <c r="A7" s="20" t="s">
        <v>2231</v>
      </c>
      <c r="B7" s="20" t="s">
        <v>126</v>
      </c>
      <c r="C7" s="20">
        <v>9</v>
      </c>
      <c r="D7" s="20">
        <v>9</v>
      </c>
      <c r="E7" s="20">
        <v>0</v>
      </c>
      <c r="F7" s="20">
        <v>3</v>
      </c>
      <c r="G7" s="20">
        <v>5</v>
      </c>
      <c r="H7" s="20">
        <v>1</v>
      </c>
      <c r="I7" s="20" t="s">
        <v>2145</v>
      </c>
      <c r="J7" s="20" t="s">
        <v>2228</v>
      </c>
    </row>
    <row r="8" spans="1:10" ht="27.95" customHeight="1" x14ac:dyDescent="0.25">
      <c r="A8" s="20" t="s">
        <v>2232</v>
      </c>
      <c r="B8" s="20" t="s">
        <v>473</v>
      </c>
      <c r="C8" s="20">
        <v>6</v>
      </c>
      <c r="D8" s="20">
        <v>0</v>
      </c>
      <c r="E8" s="20">
        <v>6</v>
      </c>
      <c r="F8" s="20">
        <v>4</v>
      </c>
      <c r="G8" s="20">
        <v>2</v>
      </c>
      <c r="H8" s="20">
        <v>0</v>
      </c>
      <c r="I8" s="20" t="s">
        <v>2169</v>
      </c>
      <c r="J8" s="20" t="s">
        <v>2228</v>
      </c>
    </row>
    <row r="9" spans="1:10" ht="27.95" customHeight="1" x14ac:dyDescent="0.25">
      <c r="A9" s="20" t="s">
        <v>2233</v>
      </c>
      <c r="B9" s="20" t="s">
        <v>160</v>
      </c>
      <c r="C9" s="20">
        <v>8</v>
      </c>
      <c r="D9" s="20">
        <v>6</v>
      </c>
      <c r="E9" s="20">
        <v>2</v>
      </c>
      <c r="F9" s="20">
        <v>4</v>
      </c>
      <c r="G9" s="20">
        <v>3</v>
      </c>
      <c r="H9" s="20">
        <v>1</v>
      </c>
      <c r="I9" s="20" t="s">
        <v>2147</v>
      </c>
      <c r="J9" s="20" t="s">
        <v>2228</v>
      </c>
    </row>
    <row r="10" spans="1:10" ht="27.95" customHeight="1" x14ac:dyDescent="0.25">
      <c r="A10" s="20" t="s">
        <v>2234</v>
      </c>
      <c r="B10" s="20" t="s">
        <v>184</v>
      </c>
      <c r="C10" s="20">
        <v>7</v>
      </c>
      <c r="D10" s="20">
        <v>7</v>
      </c>
      <c r="E10" s="20">
        <v>0</v>
      </c>
      <c r="F10" s="20">
        <v>4</v>
      </c>
      <c r="G10" s="20">
        <v>2</v>
      </c>
      <c r="H10" s="20">
        <v>1</v>
      </c>
      <c r="I10" s="20" t="s">
        <v>2149</v>
      </c>
      <c r="J10" s="20" t="s">
        <v>2228</v>
      </c>
    </row>
    <row r="11" spans="1:10" ht="27.95" customHeight="1" x14ac:dyDescent="0.25">
      <c r="A11" s="20" t="s">
        <v>2235</v>
      </c>
      <c r="B11" s="20" t="s">
        <v>215</v>
      </c>
      <c r="C11" s="20">
        <v>4</v>
      </c>
      <c r="D11" s="20">
        <v>4</v>
      </c>
      <c r="E11" s="20">
        <v>0</v>
      </c>
      <c r="F11" s="20">
        <v>3</v>
      </c>
      <c r="G11" s="20">
        <v>1</v>
      </c>
      <c r="H11" s="20">
        <v>0</v>
      </c>
      <c r="I11" s="20" t="s">
        <v>2151</v>
      </c>
      <c r="J11" s="20" t="s">
        <v>2228</v>
      </c>
    </row>
    <row r="12" spans="1:10" ht="27.95" customHeight="1" x14ac:dyDescent="0.25">
      <c r="A12" s="20" t="s">
        <v>2236</v>
      </c>
      <c r="B12" s="20" t="s">
        <v>230</v>
      </c>
      <c r="C12" s="20">
        <v>11</v>
      </c>
      <c r="D12" s="20">
        <v>8</v>
      </c>
      <c r="E12" s="20">
        <v>3</v>
      </c>
      <c r="F12" s="20">
        <v>8</v>
      </c>
      <c r="G12" s="20">
        <v>3</v>
      </c>
      <c r="H12" s="20">
        <v>0</v>
      </c>
      <c r="I12" s="20" t="s">
        <v>2153</v>
      </c>
      <c r="J12" s="20" t="s">
        <v>2228</v>
      </c>
    </row>
    <row r="13" spans="1:10" ht="27.95" customHeight="1" x14ac:dyDescent="0.25">
      <c r="A13" s="20" t="s">
        <v>2237</v>
      </c>
      <c r="B13" s="20" t="s">
        <v>498</v>
      </c>
      <c r="C13" s="20">
        <v>5</v>
      </c>
      <c r="D13" s="20">
        <v>0</v>
      </c>
      <c r="E13" s="20">
        <v>5</v>
      </c>
      <c r="F13" s="20">
        <v>4</v>
      </c>
      <c r="G13" s="20">
        <v>1</v>
      </c>
      <c r="H13" s="20">
        <v>0</v>
      </c>
      <c r="I13" s="20" t="s">
        <v>2171</v>
      </c>
      <c r="J13" s="20" t="s">
        <v>2228</v>
      </c>
    </row>
    <row r="14" spans="1:10" ht="27.95" customHeight="1" x14ac:dyDescent="0.25">
      <c r="A14" s="20" t="s">
        <v>2238</v>
      </c>
      <c r="B14" s="20" t="s">
        <v>258</v>
      </c>
      <c r="C14" s="20">
        <v>11</v>
      </c>
      <c r="D14" s="20">
        <v>7</v>
      </c>
      <c r="E14" s="20">
        <v>4</v>
      </c>
      <c r="F14" s="20">
        <v>7</v>
      </c>
      <c r="G14" s="20">
        <v>4</v>
      </c>
      <c r="H14" s="20">
        <v>0</v>
      </c>
      <c r="I14" s="20" t="s">
        <v>2155</v>
      </c>
      <c r="J14" s="20" t="s">
        <v>2228</v>
      </c>
    </row>
    <row r="15" spans="1:10" ht="27.95" customHeight="1" x14ac:dyDescent="0.25">
      <c r="A15" s="20" t="s">
        <v>2239</v>
      </c>
      <c r="B15" s="20" t="s">
        <v>286</v>
      </c>
      <c r="C15" s="20">
        <v>8</v>
      </c>
      <c r="D15" s="20">
        <v>7</v>
      </c>
      <c r="E15" s="20">
        <v>1</v>
      </c>
      <c r="F15" s="20">
        <v>4</v>
      </c>
      <c r="G15" s="20">
        <v>4</v>
      </c>
      <c r="H15" s="20">
        <v>0</v>
      </c>
      <c r="I15" s="20" t="s">
        <v>2157</v>
      </c>
      <c r="J15" s="20" t="s">
        <v>2228</v>
      </c>
    </row>
    <row r="16" spans="1:10" ht="27.95" customHeight="1" x14ac:dyDescent="0.25">
      <c r="A16" s="20" t="s">
        <v>2240</v>
      </c>
      <c r="B16" s="20" t="s">
        <v>314</v>
      </c>
      <c r="C16" s="20">
        <v>9</v>
      </c>
      <c r="D16" s="20">
        <v>8</v>
      </c>
      <c r="E16" s="20">
        <v>1</v>
      </c>
      <c r="F16" s="20">
        <v>3</v>
      </c>
      <c r="G16" s="20">
        <v>5</v>
      </c>
      <c r="H16" s="20">
        <v>1</v>
      </c>
      <c r="I16" s="20" t="s">
        <v>2159</v>
      </c>
      <c r="J16" s="20" t="s">
        <v>2228</v>
      </c>
    </row>
    <row r="17" spans="1:10" ht="27.95" customHeight="1" x14ac:dyDescent="0.25">
      <c r="A17" s="20" t="s">
        <v>122</v>
      </c>
      <c r="B17" s="20" t="s">
        <v>345</v>
      </c>
      <c r="C17" s="20">
        <v>8</v>
      </c>
      <c r="D17" s="20">
        <v>8</v>
      </c>
      <c r="E17" s="20">
        <v>0</v>
      </c>
      <c r="F17" s="20">
        <v>4</v>
      </c>
      <c r="G17" s="20">
        <v>2</v>
      </c>
      <c r="H17" s="20">
        <v>2</v>
      </c>
      <c r="I17" s="20" t="s">
        <v>2161</v>
      </c>
      <c r="J17" s="20" t="s">
        <v>2228</v>
      </c>
    </row>
    <row r="18" spans="1:10" ht="27.95" customHeight="1" x14ac:dyDescent="0.25">
      <c r="A18" s="20" t="s">
        <v>2241</v>
      </c>
      <c r="B18" s="20" t="s">
        <v>375</v>
      </c>
      <c r="C18" s="20">
        <v>8</v>
      </c>
      <c r="D18" s="20">
        <v>8</v>
      </c>
      <c r="E18" s="20">
        <v>0</v>
      </c>
      <c r="F18" s="20">
        <v>3</v>
      </c>
      <c r="G18" s="20">
        <v>5</v>
      </c>
      <c r="H18" s="20">
        <v>0</v>
      </c>
      <c r="I18" s="20" t="s">
        <v>2163</v>
      </c>
      <c r="J18" s="20" t="s">
        <v>2228</v>
      </c>
    </row>
    <row r="19" spans="1:10" ht="27.95" customHeight="1" x14ac:dyDescent="0.25">
      <c r="A19" s="20" t="s">
        <v>2242</v>
      </c>
      <c r="B19" s="20" t="s">
        <v>405</v>
      </c>
      <c r="C19" s="20">
        <v>7</v>
      </c>
      <c r="D19" s="20">
        <v>7</v>
      </c>
      <c r="E19" s="20">
        <v>0</v>
      </c>
      <c r="F19" s="20">
        <v>5</v>
      </c>
      <c r="G19" s="20">
        <v>1</v>
      </c>
      <c r="H19" s="20">
        <v>1</v>
      </c>
      <c r="I19" s="20" t="s">
        <v>2165</v>
      </c>
      <c r="J19" s="20" t="s">
        <v>2228</v>
      </c>
    </row>
    <row r="20" spans="1:10" ht="27.95" customHeight="1" x14ac:dyDescent="0.25">
      <c r="A20" s="20" t="s">
        <v>2243</v>
      </c>
      <c r="B20" s="20" t="s">
        <v>431</v>
      </c>
      <c r="C20" s="20">
        <v>9</v>
      </c>
      <c r="D20" s="20">
        <v>8</v>
      </c>
      <c r="E20" s="20">
        <v>1</v>
      </c>
      <c r="F20" s="20">
        <v>3</v>
      </c>
      <c r="G20" s="20">
        <v>4</v>
      </c>
      <c r="H20" s="20">
        <v>2</v>
      </c>
      <c r="I20" s="20" t="s">
        <v>2167</v>
      </c>
      <c r="J20" s="20" t="s">
        <v>2228</v>
      </c>
    </row>
  </sheetData>
  <mergeCells count="2">
    <mergeCell ref="A1:J1"/>
    <mergeCell ref="A2:J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9"/>
  <sheetViews>
    <sheetView topLeftCell="A27" workbookViewId="0">
      <selection sqref="A1:E1"/>
    </sheetView>
  </sheetViews>
  <sheetFormatPr baseColWidth="10" defaultColWidth="9.140625" defaultRowHeight="15" x14ac:dyDescent="0.25"/>
  <cols>
    <col min="1" max="1" width="38" customWidth="1"/>
    <col min="2" max="2" width="22" customWidth="1"/>
    <col min="3" max="3" width="68" customWidth="1"/>
    <col min="4" max="4" width="52" customWidth="1"/>
    <col min="5" max="5" width="18" customWidth="1"/>
  </cols>
  <sheetData>
    <row r="1" spans="1:5" ht="27.95" customHeight="1" x14ac:dyDescent="0.25">
      <c r="A1" s="66" t="s">
        <v>2244</v>
      </c>
      <c r="B1" s="66"/>
      <c r="C1" s="66"/>
      <c r="D1" s="66"/>
      <c r="E1" s="66"/>
    </row>
    <row r="2" spans="1:5" ht="21.95" customHeight="1" x14ac:dyDescent="0.25">
      <c r="A2" s="57" t="s">
        <v>2245</v>
      </c>
      <c r="B2" s="57"/>
      <c r="C2" s="57"/>
      <c r="D2" s="57"/>
      <c r="E2" s="57"/>
    </row>
    <row r="4" spans="1:5" x14ac:dyDescent="0.25">
      <c r="A4" s="69" t="s">
        <v>2246</v>
      </c>
      <c r="B4" s="69"/>
      <c r="C4" s="69"/>
      <c r="D4" s="69"/>
      <c r="E4" s="69"/>
    </row>
    <row r="5" spans="1:5" ht="30" customHeight="1" x14ac:dyDescent="0.25">
      <c r="A5" s="21" t="s">
        <v>2247</v>
      </c>
      <c r="B5" s="21" t="s">
        <v>2248</v>
      </c>
      <c r="C5" s="21" t="s">
        <v>2249</v>
      </c>
      <c r="D5" s="21" t="s">
        <v>2250</v>
      </c>
      <c r="E5" s="21" t="s">
        <v>16</v>
      </c>
    </row>
    <row r="6" spans="1:5" ht="33.950000000000003" customHeight="1" x14ac:dyDescent="0.25">
      <c r="A6" s="20" t="s">
        <v>2251</v>
      </c>
      <c r="B6" s="20" t="s">
        <v>2252</v>
      </c>
      <c r="C6" s="20" t="s">
        <v>2253</v>
      </c>
      <c r="D6" s="20" t="s">
        <v>2254</v>
      </c>
      <c r="E6" s="20" t="s">
        <v>25</v>
      </c>
    </row>
    <row r="7" spans="1:5" ht="33.950000000000003" customHeight="1" x14ac:dyDescent="0.25">
      <c r="A7" s="20" t="s">
        <v>2255</v>
      </c>
      <c r="B7" s="20" t="s">
        <v>2256</v>
      </c>
      <c r="C7" s="20" t="s">
        <v>2253</v>
      </c>
      <c r="D7" s="20" t="s">
        <v>2257</v>
      </c>
      <c r="E7" s="20" t="s">
        <v>25</v>
      </c>
    </row>
    <row r="8" spans="1:5" ht="33.950000000000003" customHeight="1" x14ac:dyDescent="0.25">
      <c r="A8" s="20" t="s">
        <v>2258</v>
      </c>
      <c r="B8" s="20" t="s">
        <v>2259</v>
      </c>
      <c r="C8" s="20" t="s">
        <v>2260</v>
      </c>
      <c r="D8" s="20" t="s">
        <v>2261</v>
      </c>
      <c r="E8" s="20" t="s">
        <v>25</v>
      </c>
    </row>
    <row r="9" spans="1:5" ht="33.950000000000003" customHeight="1" x14ac:dyDescent="0.25">
      <c r="A9" s="20" t="s">
        <v>2262</v>
      </c>
      <c r="B9" s="20" t="s">
        <v>2263</v>
      </c>
      <c r="C9" s="20" t="s">
        <v>2253</v>
      </c>
      <c r="D9" s="20" t="s">
        <v>2264</v>
      </c>
      <c r="E9" s="20" t="s">
        <v>25</v>
      </c>
    </row>
    <row r="10" spans="1:5" ht="33.950000000000003" customHeight="1" x14ac:dyDescent="0.25">
      <c r="A10" s="20" t="s">
        <v>2265</v>
      </c>
      <c r="B10" s="20" t="s">
        <v>2266</v>
      </c>
      <c r="C10" s="20" t="s">
        <v>2260</v>
      </c>
      <c r="D10" s="20" t="s">
        <v>2267</v>
      </c>
      <c r="E10" s="20" t="s">
        <v>25</v>
      </c>
    </row>
    <row r="11" spans="1:5" ht="33.950000000000003" customHeight="1" x14ac:dyDescent="0.25">
      <c r="A11" s="20" t="s">
        <v>2268</v>
      </c>
      <c r="B11" s="20" t="s">
        <v>2269</v>
      </c>
      <c r="C11" s="20" t="s">
        <v>2260</v>
      </c>
      <c r="D11" s="20" t="s">
        <v>2270</v>
      </c>
      <c r="E11" s="20" t="s">
        <v>25</v>
      </c>
    </row>
    <row r="12" spans="1:5" ht="33.950000000000003" customHeight="1" x14ac:dyDescent="0.25">
      <c r="A12" s="20" t="s">
        <v>2271</v>
      </c>
      <c r="B12" s="20" t="s">
        <v>2272</v>
      </c>
      <c r="C12" s="20" t="s">
        <v>2260</v>
      </c>
      <c r="D12" s="20" t="s">
        <v>2273</v>
      </c>
      <c r="E12" s="20" t="s">
        <v>25</v>
      </c>
    </row>
    <row r="13" spans="1:5" ht="33.950000000000003" customHeight="1" x14ac:dyDescent="0.25">
      <c r="A13" s="20" t="s">
        <v>2274</v>
      </c>
      <c r="B13" s="20" t="s">
        <v>2275</v>
      </c>
      <c r="C13" s="20" t="s">
        <v>2253</v>
      </c>
      <c r="D13" s="20" t="s">
        <v>2276</v>
      </c>
      <c r="E13" s="20" t="s">
        <v>25</v>
      </c>
    </row>
    <row r="15" spans="1:5" x14ac:dyDescent="0.25">
      <c r="A15" s="69" t="s">
        <v>2277</v>
      </c>
      <c r="B15" s="69"/>
      <c r="C15" s="69"/>
      <c r="D15" s="69"/>
      <c r="E15" s="69"/>
    </row>
    <row r="16" spans="1:5" ht="30" customHeight="1" x14ac:dyDescent="0.25">
      <c r="A16" s="21" t="s">
        <v>2278</v>
      </c>
      <c r="B16" s="21" t="s">
        <v>16</v>
      </c>
      <c r="C16" s="21" t="s">
        <v>2279</v>
      </c>
      <c r="D16" s="21" t="s">
        <v>2280</v>
      </c>
    </row>
    <row r="17" spans="1:4" ht="33.950000000000003" customHeight="1" x14ac:dyDescent="0.25">
      <c r="A17" s="20" t="s">
        <v>2281</v>
      </c>
      <c r="B17" s="20" t="s">
        <v>2282</v>
      </c>
      <c r="C17" s="20" t="s">
        <v>2283</v>
      </c>
      <c r="D17" s="20" t="s">
        <v>2284</v>
      </c>
    </row>
    <row r="18" spans="1:4" ht="33.950000000000003" customHeight="1" x14ac:dyDescent="0.25">
      <c r="A18" s="20" t="s">
        <v>2285</v>
      </c>
      <c r="B18" s="20" t="s">
        <v>2282</v>
      </c>
      <c r="C18" s="20" t="s">
        <v>2286</v>
      </c>
      <c r="D18" s="20" t="s">
        <v>2287</v>
      </c>
    </row>
    <row r="19" spans="1:4" ht="33.950000000000003" customHeight="1" x14ac:dyDescent="0.25">
      <c r="A19" s="20" t="s">
        <v>2288</v>
      </c>
      <c r="B19" s="20" t="s">
        <v>2282</v>
      </c>
      <c r="C19" s="20" t="s">
        <v>2289</v>
      </c>
      <c r="D19" s="20" t="s">
        <v>2290</v>
      </c>
    </row>
    <row r="20" spans="1:4" ht="33.950000000000003" customHeight="1" x14ac:dyDescent="0.25">
      <c r="A20" s="20" t="s">
        <v>2291</v>
      </c>
      <c r="B20" s="20" t="s">
        <v>2282</v>
      </c>
      <c r="C20" s="20" t="s">
        <v>2292</v>
      </c>
      <c r="D20" s="20" t="s">
        <v>2293</v>
      </c>
    </row>
    <row r="21" spans="1:4" ht="33.950000000000003" customHeight="1" x14ac:dyDescent="0.25">
      <c r="A21" s="20" t="s">
        <v>2294</v>
      </c>
      <c r="B21" s="20" t="s">
        <v>2295</v>
      </c>
      <c r="C21" s="20" t="s">
        <v>2296</v>
      </c>
      <c r="D21" s="20" t="s">
        <v>2297</v>
      </c>
    </row>
    <row r="22" spans="1:4" ht="33.950000000000003" customHeight="1" x14ac:dyDescent="0.25">
      <c r="A22" s="20" t="s">
        <v>2298</v>
      </c>
      <c r="B22" s="20" t="s">
        <v>2299</v>
      </c>
      <c r="C22" s="20" t="s">
        <v>2300</v>
      </c>
      <c r="D22" s="20" t="s">
        <v>2301</v>
      </c>
    </row>
    <row r="23" spans="1:4" ht="33.950000000000003" customHeight="1" x14ac:dyDescent="0.25">
      <c r="A23" s="20" t="s">
        <v>2302</v>
      </c>
      <c r="B23" s="20" t="s">
        <v>25</v>
      </c>
      <c r="C23" s="20" t="s">
        <v>2303</v>
      </c>
      <c r="D23" s="20" t="s">
        <v>2304</v>
      </c>
    </row>
    <row r="24" spans="1:4" ht="33.950000000000003" customHeight="1" x14ac:dyDescent="0.25">
      <c r="A24" s="20" t="s">
        <v>2305</v>
      </c>
      <c r="B24" s="20" t="s">
        <v>25</v>
      </c>
      <c r="C24" s="20" t="s">
        <v>2306</v>
      </c>
      <c r="D24" s="20" t="s">
        <v>2304</v>
      </c>
    </row>
    <row r="25" spans="1:4" ht="33.950000000000003" customHeight="1" x14ac:dyDescent="0.25">
      <c r="A25" s="20" t="s">
        <v>2307</v>
      </c>
      <c r="B25" s="20" t="s">
        <v>25</v>
      </c>
      <c r="C25" s="20" t="s">
        <v>2308</v>
      </c>
      <c r="D25" s="20" t="s">
        <v>2304</v>
      </c>
    </row>
    <row r="26" spans="1:4" ht="33.950000000000003" customHeight="1" x14ac:dyDescent="0.25">
      <c r="A26" s="20" t="s">
        <v>2309</v>
      </c>
      <c r="B26" s="20" t="s">
        <v>2310</v>
      </c>
      <c r="C26" s="20" t="s">
        <v>2311</v>
      </c>
      <c r="D26" s="20" t="s">
        <v>2312</v>
      </c>
    </row>
    <row r="27" spans="1:4" ht="33.950000000000003" customHeight="1" x14ac:dyDescent="0.25">
      <c r="A27" s="20" t="s">
        <v>2313</v>
      </c>
      <c r="B27" s="20" t="s">
        <v>2310</v>
      </c>
      <c r="C27" s="20" t="s">
        <v>2314</v>
      </c>
      <c r="D27" s="20" t="s">
        <v>2312</v>
      </c>
    </row>
    <row r="28" spans="1:4" ht="33.950000000000003" customHeight="1" x14ac:dyDescent="0.25">
      <c r="A28" s="20" t="s">
        <v>2315</v>
      </c>
      <c r="B28" s="20" t="s">
        <v>25</v>
      </c>
      <c r="C28" s="20" t="s">
        <v>2316</v>
      </c>
      <c r="D28" s="20" t="s">
        <v>2304</v>
      </c>
    </row>
    <row r="29" spans="1:4" ht="33.950000000000003" customHeight="1" x14ac:dyDescent="0.25">
      <c r="A29" s="20" t="s">
        <v>2317</v>
      </c>
      <c r="B29" s="20" t="s">
        <v>25</v>
      </c>
      <c r="C29" s="20" t="s">
        <v>2318</v>
      </c>
      <c r="D29" s="20" t="s">
        <v>2304</v>
      </c>
    </row>
  </sheetData>
  <mergeCells count="4">
    <mergeCell ref="A1:E1"/>
    <mergeCell ref="A2:E2"/>
    <mergeCell ref="A4:E4"/>
    <mergeCell ref="A15:E15"/>
  </mergeCells>
  <conditionalFormatting sqref="E6:E13">
    <cfRule type="expression" dxfId="7" priority="1">
      <formula>$E6="✅ Verificado"</formula>
    </cfRule>
    <cfRule type="expression" dxfId="6" priority="2">
      <formula>$E6="✅ Trazado"</formula>
    </cfRule>
    <cfRule type="expression" dxfId="5" priority="3">
      <formula>$E6="✅ Documentado"</formula>
    </cfRule>
    <cfRule type="expression" dxfId="4" priority="4">
      <formula>$E6="🧪 Planificado"</formula>
    </cfRule>
    <cfRule type="expression" dxfId="3" priority="5">
      <formula>$E6="⚠ Validar brecha v2.0"</formula>
    </cfRule>
    <cfRule type="expression" dxfId="2" priority="6">
      <formula>$E6="⏳ Pendiente"</formula>
    </cfRule>
    <cfRule type="expression" dxfId="1" priority="7">
      <formula>$E6="🔄 En Progreso"</formula>
    </cfRule>
    <cfRule type="expression" dxfId="0" priority="8">
      <formula>$E6="❌ No Cumplido"</formula>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PORTADA</vt:lpstr>
      <vt:lpstr>RF → CU</vt:lpstr>
      <vt:lpstr>RF → RNF</vt:lpstr>
      <vt:lpstr>RF → CP</vt:lpstr>
      <vt:lpstr>MATRIZ COMPLETA</vt:lpstr>
      <vt:lpstr>RESUMEN ESTADO</vt:lpstr>
      <vt:lpstr>RF → BPMN</vt:lpstr>
      <vt:lpstr>CATÁLOGO RNF</vt:lpstr>
      <vt:lpstr>MÓDULOS</vt:lpstr>
      <vt:lpstr>PENDIENTES RUP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Brandon Mauricio Noj Romero</cp:lastModifiedBy>
  <dcterms:modified xsi:type="dcterms:W3CDTF">2026-08-16T07:29:54Z</dcterms:modified>
</cp:coreProperties>
</file>